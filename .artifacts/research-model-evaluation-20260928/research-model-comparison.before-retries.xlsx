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7ce31609954e36" /></Relationships>
</file>

<file path=xl/workbook.xml><?xml version="1.0" encoding="utf-8"?>
<x:workbook xmlns:x="http://schemas.openxmlformats.org/spreadsheetml/2006/main">
  <x:sheets>
    <x:sheet xmlns:r="http://schemas.openxmlformats.org/officeDocument/2006/relationships" name="Runs" sheetId="1" r:id="R211858b9743d40b1"/>
    <x:sheet xmlns:r="http://schemas.openxmlformats.org/officeDocument/2006/relationships" name="Costs" sheetId="2" r:id="Rb5941ddcbaf04c78"/>
    <x:sheet xmlns:r="http://schemas.openxmlformats.org/officeDocument/2006/relationships" name="Jobs" sheetId="3" r:id="R2c689b01eb564984"/>
    <x:sheet xmlns:r="http://schemas.openxmlformats.org/officeDocument/2006/relationships" name="Quality" sheetId="4" r:id="R108edd6543424708"/>
    <x:sheet xmlns:r="http://schemas.openxmlformats.org/officeDocument/2006/relationships" name="Failures" sheetId="5" r:id="R181dfdbbb484409b"/>
    <x:sheet xmlns:r="http://schemas.openxmlformats.org/officeDocument/2006/relationships" name="Outputs" sheetId="6" r:id="Rac0103970d2b43db"/>
    <x:sheet xmlns:r="http://schemas.openxmlformats.org/officeDocument/2006/relationships" name="Trace metrics" sheetId="7" r:id="R77dc1fd8556d4397"/>
    <x:sheet xmlns:r="http://schemas.openxmlformats.org/officeDocument/2006/relationships" name="Method" sheetId="8" r:id="Rb59eff92043a439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00"/>
    <x:numFmt numFmtId="201" formatCode="0.0"/>
    <x:numFmt numFmtId="202" formatCode="[m]:ss"/>
    <x:numFmt numFmtId="203" formatCode="$0.00"/>
    <x:numFmt numFmtId="204" formatCode="$0.0000"/>
    <x:numFmt numFmtId="205" formatCode="mmm d hh:mm:ss"/>
    <x:numFmt numFmtId="206" formatCode="#,##0"/>
  </x:numFmts>
  <x:fonts count="7">
    <x:font>
      <x:sz val="11"/>
      <x:name val="Carlito"/>
    </x:font>
    <x:font>
      <x:sz val="10"/>
      <x:color rgb="FF24364B"/>
      <x:name val="Arial"/>
    </x:font>
    <x:font>
      <x:b/>
      <x:sz val="18"/>
      <x:color rgb="FFFFFFFF"/>
      <x:name val="Arial"/>
    </x:font>
    <x:font>
      <x:sz val="11"/>
      <x:color rgb="FF24364B"/>
      <x:name val="Arial"/>
    </x:font>
    <x:font>
      <x:b/>
      <x:sz val="10"/>
      <x:color rgb="FFFFFFFF"/>
      <x:name val="Arial"/>
    </x:font>
    <x:font>
      <x:b/>
      <x:sz val="10"/>
      <x:color rgb="FF183E2E"/>
      <x:name val="Arial"/>
    </x:font>
    <x:font>
      <x:sz val="10"/>
      <x:color rgb="FF1767A0"/>
      <x:name val="Arial"/>
    </x:font>
  </x:fonts>
  <x:fills count="7">
    <x:fill>
      <x:patternFill patternType="none"/>
    </x:fill>
    <x:fill>
      <x:patternFill patternType="gray125"/>
    </x:fill>
    <x:fill>
      <x:patternFill patternType="solid">
        <x:fgColor rgb="FF122B44"/>
      </x:patternFill>
    </x:fill>
    <x:fill>
      <x:patternFill patternType="solid">
        <x:fgColor rgb="FFE9F1F7"/>
      </x:patternFill>
    </x:fill>
    <x:fill>
      <x:patternFill patternType="solid">
        <x:fgColor rgb="FF234B65"/>
      </x:patternFill>
    </x:fill>
    <x:fill>
      <x:patternFill patternType="solid">
        <x:fgColor rgb="FFF2F6FA"/>
      </x:patternFill>
    </x:fill>
    <x:fill>
      <x:patternFill patternType="solid">
        <x:fgColor rgb="FFDCE9E2"/>
      </x:patternFill>
    </x:fill>
  </x:fills>
  <x:borders count="1">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1" fontId="5" fillId="6" borderId="0" xfId="0" applyNumberFormat="1" applyFont="1" applyFill="1" applyBorder="1"/>
    <x:xf numFmtId="202" fontId="1" fillId="0"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5"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5" fontId="1" fillId="5"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6" fontId="1"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6ebe76205f4f87" /><Relationship Type="http://schemas.openxmlformats.org/officeDocument/2006/relationships/theme" Target="/xl/theme/theme1.xml" Id="R11be17eaa45a449a" /><Relationship Type="http://schemas.openxmlformats.org/officeDocument/2006/relationships/sharedStrings" Target="/xl/sharedStrings.xml" Id="Rcb978514148a45b5" /><Relationship Type="http://schemas.openxmlformats.org/officeDocument/2006/relationships/worksheet" Target="/xl/worksheets/sheet1.xml" Id="R211858b9743d40b1" /><Relationship Type="http://schemas.openxmlformats.org/officeDocument/2006/relationships/worksheet" Target="/xl/worksheets/sheet2.xml" Id="Rb5941ddcbaf04c78" /><Relationship Type="http://schemas.openxmlformats.org/officeDocument/2006/relationships/worksheet" Target="/xl/worksheets/sheet3.xml" Id="R2c689b01eb564984" /><Relationship Type="http://schemas.openxmlformats.org/officeDocument/2006/relationships/worksheet" Target="/xl/worksheets/sheet4.xml" Id="R108edd6543424708" /><Relationship Type="http://schemas.openxmlformats.org/officeDocument/2006/relationships/worksheet" Target="/xl/worksheets/sheet5.xml" Id="R181dfdbbb484409b" /><Relationship Type="http://schemas.openxmlformats.org/officeDocument/2006/relationships/worksheet" Target="/xl/worksheets/sheet6.xml" Id="Rac0103970d2b43db" /><Relationship Type="http://schemas.openxmlformats.org/officeDocument/2006/relationships/worksheet" Target="/xl/worksheets/sheet7.xml" Id="R77dc1fd8556d4397" /><Relationship Type="http://schemas.openxmlformats.org/officeDocument/2006/relationships/worksheet" Target="/xl/worksheets/sheet8.xml" Id="Rb59eff92043a439a" /></Relationships>
</file>

<file path=xl/tables/table1.xml><?xml version="1.0" encoding="utf-8"?>
<x:table xmlns:x="http://schemas.openxmlformats.org/spreadsheetml/2006/main" id="1" name="RunsTable" displayName="RunsTable" ref="A5:L16" headerRowCount="1" totalsRowCount="0" totalsRowShown="0">
  <x:tableColumns count="12">
    <x:tableColumn id="1" name="Run"/>
    <x:tableColumn id="2" name="Seller / account"/>
    <x:tableColumn id="3" name="Research model"/>
    <x:tableColumn id="4" name="Effort"/>
    <x:tableColumn id="5" name="Research wall"/>
    <x:tableColumn id="6" name="Total observed"/>
    <x:tableColumn id="7" name="Known USD"/>
    <x:tableColumn id="8" name="AI Ark credits"/>
    <x:tableColumn id="9" name="Account findings"/>
    <x:tableColumn id="10" name="Person outputs"/>
    <x:tableColumn id="11" name="Outcome"/>
    <x:tableColumn id="12" name="Run report"/>
  </x:tableColumns>
  <x:tableStyleInfo name="TableStyleMedium2" showFirstColumn="0" showLastColumn="0" showRowStripes="1" showColumnStripes="0"/>
</x:table>
</file>

<file path=xl/tables/table2.xml><?xml version="1.0" encoding="utf-8"?>
<x:table xmlns:x="http://schemas.openxmlformats.org/spreadsheetml/2006/main" id="2" name="CostsTable" displayName="CostsTable" ref="A5:M17" headerRowCount="1" totalsRowCount="0" totalsRowShown="0">
  <x:tableColumns count="13">
    <x:tableColumn id="1" name="Run"/>
    <x:tableColumn id="2" name="Researcher USD"/>
    <x:tableColumn id="3" name="Exa USD"/>
    <x:tableColumn id="4" name="Deepgram USD"/>
    <x:tableColumn id="5" name="Embedding USD"/>
    <x:tableColumn id="6" name="Reconciliation USD"/>
    <x:tableColumn id="7" name="Old continuations USD"/>
    <x:tableColumn id="8" name="Head brief USD"/>
    <x:tableColumn id="9" name="Preflight USD"/>
    <x:tableColumn id="10" name="Other USD"/>
    <x:tableColumn id="11" name="Known total USD"/>
    <x:tableColumn id="12" name="AI Ark credits"/>
    <x:tableColumn id="13" name="Billing limits"/>
  </x:tableColumns>
  <x:tableStyleInfo name="TableStyleMedium2" showFirstColumn="0" showLastColumn="0" showRowStripes="1" showColumnStripes="0"/>
</x:table>
</file>

<file path=xl/tables/table3.xml><?xml version="1.0" encoding="utf-8"?>
<x:table xmlns:x="http://schemas.openxmlformats.org/spreadsheetml/2006/main" id="3" name="JobsTable" displayName="JobsTable" ref="A5:O31" headerRowCount="1" totalsRowCount="0" totalsRowShown="0">
  <x:tableColumns count="15">
    <x:tableColumn id="1" name="Run"/>
    <x:tableColumn id="2" name="Entity"/>
    <x:tableColumn id="3" name="Status"/>
    <x:tableColumn id="4" name="Job elapsed"/>
    <x:tableColumn id="5" name="Before formation"/>
    <x:tableColumn id="6" name="Formation → import"/>
    <x:tableColumn id="7" name="Import → narrative"/>
    <x:tableColumn id="8" name="Initial / draft findings"/>
    <x:tableColumn id="9" name="Latest stored findings"/>
    <x:tableColumn id="10" name="Researcher narrative"/>
    <x:tableColumn id="11" name="Model calls"/>
    <x:tableColumn id="12" name="Model USD"/>
    <x:tableColumn id="13" name="Start UTC"/>
    <x:tableColumn id="14" name="End UTC"/>
    <x:tableColumn id="15" name="Job ID"/>
  </x:tableColumns>
  <x:tableStyleInfo name="TableStyleMedium2" showFirstColumn="0" showLastColumn="0" showRowStripes="1" showColumnStripes="0"/>
</x:table>
</file>

<file path=xl/tables/table4.xml><?xml version="1.0" encoding="utf-8"?>
<x:table xmlns:x="http://schemas.openxmlformats.org/spreadsheetml/2006/main" id="4" name="QualityTable" displayName="QualityTable" ref="A5:G79" headerRowCount="1" totalsRowCount="0" totalsRowShown="0">
  <x:tableColumns count="7">
    <x:tableColumn id="1" name="Run"/>
    <x:tableColumn id="2" name="Evidence / behavior"/>
    <x:tableColumn id="3" name="Assessment"/>
    <x:tableColumn id="4" name="Observed difference"/>
    <x:tableColumn id="5" name="Finding references"/>
    <x:tableColumn id="6" name="Acquired passage matches"/>
    <x:tableColumn id="7" name="Evidence"/>
  </x:tableColumns>
  <x:tableStyleInfo name="TableStyleMedium2" showFirstColumn="0" showLastColumn="0" showRowStripes="1" showColumnStripes="0"/>
</x:table>
</file>

<file path=xl/tables/table5.xml><?xml version="1.0" encoding="utf-8"?>
<x:table xmlns:x="http://schemas.openxmlformats.org/spreadsheetml/2006/main" id="5" name="FailuresTable" displayName="FailuresTable" ref="A5:F39" headerRowCount="1" totalsRowCount="0" totalsRowShown="0">
  <x:tableColumns count="6">
    <x:tableColumn id="1" name="Run"/>
    <x:tableColumn id="2" name="Entity / stage"/>
    <x:tableColumn id="3" name="Category"/>
    <x:tableColumn id="4" name="What happened and consequence"/>
    <x:tableColumn id="5" name="Confidence / limitation"/>
    <x:tableColumn id="6" name="Evidence"/>
  </x:tableColumns>
  <x:tableStyleInfo name="TableStyleMedium2" showFirstColumn="0" showLastColumn="0" showRowStripes="1" showColumnStripes="0"/>
</x:table>
</file>

<file path=xl/tables/table6.xml><?xml version="1.0" encoding="utf-8"?>
<x:table xmlns:x="http://schemas.openxmlformats.org/spreadsheetml/2006/main" id="6" name="OutputsTable" displayName="OutputsTable" ref="A5:F356" headerRowCount="1" totalsRowCount="0" totalsRowShown="0">
  <x:tableColumns count="6">
    <x:tableColumn id="1" name="Run"/>
    <x:tableColumn id="2" name="Entity / scope"/>
    <x:tableColumn id="3" name="Artifact"/>
    <x:tableColumn id="4" name="Open"/>
    <x:tableColumn id="5" name="Notes"/>
    <x:tableColumn id="6" name="Absolute source location"/>
  </x:tableColumns>
  <x:tableStyleInfo name="TableStyleMedium2" showFirstColumn="0" showLastColumn="0" showRowStripes="1" showColumnStripes="0"/>
</x:table>
</file>

<file path=xl/tables/table7.xml><?xml version="1.0" encoding="utf-8"?>
<x:table xmlns:x="http://schemas.openxmlformats.org/spreadsheetml/2006/main" id="7" name="TracemetricsTable" displayName="TracemetricsTable" ref="A5:K31" headerRowCount="1" totalsRowCount="0" totalsRowShown="0">
  <x:tableColumns count="11">
    <x:tableColumn id="1" name="Run"/>
    <x:tableColumn id="2" name="Entity"/>
    <x:tableColumn id="3" name="Model calls"/>
    <x:tableColumn id="4" name="Input tokens"/>
    <x:tableColumn id="5" name="Cache-read tokens"/>
    <x:tableColumn id="6" name="Output tokens"/>
    <x:tableColumn id="7" name="Model latency sum"/>
    <x:tableColumn id="8" name="read_file calls"/>
    <x:tableColumn id="9" name="Exact repeat reads"/>
    <x:tableColumn id="10" name="Multi-tool batches"/>
    <x:tableColumn id="11" name="Largest batch"/>
  </x:tableColumns>
  <x:tableStyleInfo name="TableStyleMedium2" showFirstColumn="0" showLastColumn="0" showRowStripes="1" showColumnStripes="0"/>
</x:table>
</file>

<file path=xl/tables/table8.xml><?xml version="1.0" encoding="utf-8"?>
<x:table xmlns:x="http://schemas.openxmlformats.org/spreadsheetml/2006/main" id="8" name="MethodTable" displayName="MethodTable" ref="A5:B21" headerRowCount="1" totalsRowCount="0" totalsRowShown="0">
  <x:tableColumns count="2">
    <x:tableColumn id="1" name="Topic"/>
    <x:tableColumn id="2" name="Definition / 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1e6ecc194733475e" /><ns0:Relationship Id="NativeLink1" Type="http://schemas.openxmlformats.org/officeDocument/2006/relationships/hyperlink" Target="file:///Users/aryankeshri/conductor/workspaces/research-and-data/jerusalem-v1/.artifacts/arv4-insight-premier-20260928-r24/REPORT.md" TargetMode="External" /><ns0:Relationship Id="NativeLink2" Type="http://schemas.openxmlformats.org/officeDocument/2006/relationships/hyperlink" Target="file:///Users/aryankeshri/conductor/workspaces/research-and-data/jerusalem-v1/.artifacts/arv4-insight-premier-muse-20260928-run04/REVIEW-IN-PROGRESS.md" TargetMode="External" /><ns0:Relationship Id="NativeLink3" Type="http://schemas.openxmlformats.org/officeDocument/2006/relationships/hyperlink" Target="file:///Users/aryankeshri/conductor/workspaces/research-and-data/jerusalem-v1/.artifacts/arv4-insight-premier-muse-high-20260928-run05/REPORT.md" TargetMode="External" /><ns0:Relationship Id="NativeLink4" Type="http://schemas.openxmlformats.org/officeDocument/2006/relationships/hyperlink" Target="file:///Users/aryankeshri/conductor/workspaces/research-and-data/jerusalem-v1/.artifacts/arv4-insight-premier-grok47-high-20260928-run06/REPORT.md" TargetMode="External" /><ns0:Relationship Id="NativeLink5" Type="http://schemas.openxmlformats.org/officeDocument/2006/relationships/hyperlink" Target="file:///Users/aryankeshri/conductor/workspaces/research-and-data/jerusalem-v1/.artifacts/research-model-comparison-20260928/XHIGH.md" TargetMode="External" /><ns0:Relationship Id="NativeLink6" Type="http://schemas.openxmlformats.org/officeDocument/2006/relationships/hyperlink" Target="file:///Users/aryankeshri/conductor/workspaces/research-and-data/jerusalem-v1/.artifacts/zafran-three-model-medium-20260928/grok46/REPORT.md" TargetMode="External" /><ns0:Relationship Id="NativeLink7" Type="http://schemas.openxmlformats.org/officeDocument/2006/relationships/hyperlink" Target="file:///Users/aryankeshri/conductor/workspaces/research-and-data/jerusalem-v1/.artifacts/zafran-three-model-medium-20260928/grok47/REPORT.md" TargetMode="External" /><ns0:Relationship Id="NativeLink8" Type="http://schemas.openxmlformats.org/officeDocument/2006/relationships/hyperlink" Target="file:///Users/aryankeshri/conductor/workspaces/research-and-data/jerusalem-v1/.artifacts/zafran-three-model-medium-20260928/glm53/REPORT.md" TargetMode="External" /><ns0:Relationship Id="NativeLink9" Type="http://schemas.openxmlformats.org/officeDocument/2006/relationships/hyperlink" Target="file:///Users/aryankeshri/conductor/workspaces/research-and-data/jerusalem-v1/.artifacts/zafran-three-model-medium-20260928/glm53-untouched-02/REPORT.md" TargetMode="External" /><ns0:Relationship Id="NativeLink10" Type="http://schemas.openxmlformats.org/officeDocument/2006/relationships/hyperlink" Target="file:///Users/aryankeshri/conductor/workspaces/research-and-data/jerusalem-v1/.artifacts/zafran-three-model-medium-20260928/deepseek4pro-high/REPORT.md" TargetMode="External" /><ns0:Relationship Id="NativeLink11" Type="http://schemas.openxmlformats.org/officeDocument/2006/relationships/hyperlink" Target="file:///Users/aryankeshri/conductor/workspaces/research-and-data/jerusalem-v1/.artifacts/zafran-three-model-medium-20260928/muse-max/REPORT.md" TargetMode="External" /></ns0:Relationships>
</file>

<file path=xl/worksheets/_rels/sheet2.xml.rels>&#65279;<?xml version="1.0" encoding="utf-8"?><Relationships xmlns="http://schemas.openxmlformats.org/package/2006/relationships"><Relationship Type="http://schemas.openxmlformats.org/officeDocument/2006/relationships/table" Target="/xl/tables/table2.xml" Id="R9596e0f570154686" /></Relationships>
</file>

<file path=xl/worksheets/_rels/sheet3.xml.rels>&#65279;<?xml version="1.0" encoding="utf-8"?><Relationships xmlns="http://schemas.openxmlformats.org/package/2006/relationships"><Relationship Type="http://schemas.openxmlformats.org/officeDocument/2006/relationships/table" Target="/xl/tables/table3.xml" Id="Ra6265689fa844a72" /></Relationships>
</file>

<file path=xl/worksheets/_rels/sheet4.xml.rels><?xml version='1.0' encoding='utf-8'?>
<ns0:Relationships xmlns:ns0="http://schemas.openxmlformats.org/package/2006/relationships"><ns0:Relationship Type="http://schemas.openxmlformats.org/officeDocument/2006/relationships/table" Target="/xl/tables/table4.xml" Id="R0986ddf37d07417d" /><ns0:Relationship Id="NativeLink1" Type="http://schemas.openxmlformats.org/officeDocument/2006/relationships/hyperlink" Target="file:///Users/aryankeshri/conductor/workspaces/research-and-data/jerusalem-v1/.artifacts/research-model-evaluation-20260928/quality-evidence.json" TargetMode="External" /><ns0:Relationship Id="NativeLink2" Type="http://schemas.openxmlformats.org/officeDocument/2006/relationships/hyperlink" Target="file:///Users/aryankeshri/conductor/workspaces/research-and-data/jerusalem-v1/.artifacts/research-model-evaluation-20260928/quality-evidence.json" TargetMode="External" /><ns0:Relationship Id="NativeLink3" Type="http://schemas.openxmlformats.org/officeDocument/2006/relationships/hyperlink" Target="file:///Users/aryankeshri/conductor/workspaces/research-and-data/jerusalem-v1/.artifacts/research-model-evaluation-20260928/quality-evidence.json" TargetMode="External" /><ns0:Relationship Id="NativeLink4" Type="http://schemas.openxmlformats.org/officeDocument/2006/relationships/hyperlink" Target="file:///Users/aryankeshri/conductor/workspaces/research-and-data/jerusalem-v1/.artifacts/research-model-evaluation-20260928/quality-evidence.json" TargetMode="External" /><ns0:Relationship Id="NativeLink5" Type="http://schemas.openxmlformats.org/officeDocument/2006/relationships/hyperlink" Target="file:///Users/aryankeshri/conductor/workspaces/research-and-data/jerusalem-v1/.artifacts/research-model-evaluation-20260928/quality-evidence.json" TargetMode="External" /><ns0:Relationship Id="NativeLink6" Type="http://schemas.openxmlformats.org/officeDocument/2006/relationships/hyperlink" Target="file:///Users/aryankeshri/conductor/workspaces/research-and-data/jerusalem-v1/.artifacts/research-model-evaluation-20260928/quality-evidence.json" TargetMode="External" /><ns0:Relationship Id="NativeLink7" Type="http://schemas.openxmlformats.org/officeDocument/2006/relationships/hyperlink" Target="file:///Users/aryankeshri/conductor/workspaces/research-and-data/jerusalem-v1/.artifacts/research-model-evaluation-20260928/quality-evidence.json" TargetMode="External" /><ns0:Relationship Id="NativeLink8" Type="http://schemas.openxmlformats.org/officeDocument/2006/relationships/hyperlink" Target="file:///Users/aryankeshri/conductor/workspaces/research-and-data/jerusalem-v1/.artifacts/research-model-evaluation-20260928/quality-evidence.json" TargetMode="External" /><ns0:Relationship Id="NativeLink9" Type="http://schemas.openxmlformats.org/officeDocument/2006/relationships/hyperlink" Target="file:///Users/aryankeshri/conductor/workspaces/research-and-data/jerusalem-v1/.artifacts/research-model-evaluation-20260928/quality-evidence.json" TargetMode="External" /><ns0:Relationship Id="NativeLink10" Type="http://schemas.openxmlformats.org/officeDocument/2006/relationships/hyperlink" Target="file:///Users/aryankeshri/conductor/workspaces/research-and-data/jerusalem-v1/.artifacts/research-model-evaluation-20260928/quality-evidence.json" TargetMode="External" /><ns0:Relationship Id="NativeLink11" Type="http://schemas.openxmlformats.org/officeDocument/2006/relationships/hyperlink" Target="file:///Users/aryankeshri/conductor/workspaces/research-and-data/jerusalem-v1/.artifacts/research-model-evaluation-20260928/quality-evidence.json" TargetMode="External" /><ns0:Relationship Id="NativeLink12" Type="http://schemas.openxmlformats.org/officeDocument/2006/relationships/hyperlink" Target="file:///Users/aryankeshri/conductor/workspaces/research-and-data/jerusalem-v1/.artifacts/research-model-evaluation-20260928/quality-evidence.json" TargetMode="External" /><ns0:Relationship Id="NativeLink13" Type="http://schemas.openxmlformats.org/officeDocument/2006/relationships/hyperlink" Target="file:///Users/aryankeshri/conductor/workspaces/research-and-data/jerusalem-v1/.artifacts/research-model-evaluation-20260928/quality-evidence.json" TargetMode="External" /><ns0:Relationship Id="NativeLink14" Type="http://schemas.openxmlformats.org/officeDocument/2006/relationships/hyperlink" Target="file:///Users/aryankeshri/conductor/workspaces/research-and-data/jerusalem-v1/.artifacts/research-model-evaluation-20260928/quality-evidence.json" TargetMode="External" /><ns0:Relationship Id="NativeLink15" Type="http://schemas.openxmlformats.org/officeDocument/2006/relationships/hyperlink" Target="file:///Users/aryankeshri/conductor/workspaces/research-and-data/jerusalem-v1/.artifacts/research-model-evaluation-20260928/quality-evidence.json" TargetMode="External" /><ns0:Relationship Id="NativeLink16" Type="http://schemas.openxmlformats.org/officeDocument/2006/relationships/hyperlink" Target="file:///Users/aryankeshri/conductor/workspaces/research-and-data/jerusalem-v1/.artifacts/research-model-evaluation-20260928/quality-evidence.json" TargetMode="External" /><ns0:Relationship Id="NativeLink17" Type="http://schemas.openxmlformats.org/officeDocument/2006/relationships/hyperlink" Target="file:///Users/aryankeshri/conductor/workspaces/research-and-data/jerusalem-v1/.artifacts/research-model-evaluation-20260928/quality-evidence.json" TargetMode="External" /><ns0:Relationship Id="NativeLink18" Type="http://schemas.openxmlformats.org/officeDocument/2006/relationships/hyperlink" Target="file:///Users/aryankeshri/conductor/workspaces/research-and-data/jerusalem-v1/.artifacts/research-model-evaluation-20260928/quality-evidence.json" TargetMode="External" /><ns0:Relationship Id="NativeLink19" Type="http://schemas.openxmlformats.org/officeDocument/2006/relationships/hyperlink" Target="file:///Users/aryankeshri/conductor/workspaces/research-and-data/jerusalem-v1/.artifacts/research-model-evaluation-20260928/quality-evidence.json" TargetMode="External" /><ns0:Relationship Id="NativeLink20" Type="http://schemas.openxmlformats.org/officeDocument/2006/relationships/hyperlink" Target="file:///Users/aryankeshri/conductor/workspaces/research-and-data/jerusalem-v1/.artifacts/research-model-evaluation-20260928/quality-evidence.json" TargetMode="External" /><ns0:Relationship Id="NativeLink21" Type="http://schemas.openxmlformats.org/officeDocument/2006/relationships/hyperlink" Target="file:///Users/aryankeshri/conductor/workspaces/research-and-data/jerusalem-v1/.artifacts/research-model-evaluation-20260928/quality-evidence.json" TargetMode="External" /><ns0:Relationship Id="NativeLink22" Type="http://schemas.openxmlformats.org/officeDocument/2006/relationships/hyperlink" Target="file:///Users/aryankeshri/conductor/workspaces/research-and-data/jerusalem-v1/.artifacts/research-model-evaluation-20260928/quality-evidence.json" TargetMode="External" /><ns0:Relationship Id="NativeLink23" Type="http://schemas.openxmlformats.org/officeDocument/2006/relationships/hyperlink" Target="file:///Users/aryankeshri/conductor/workspaces/research-and-data/jerusalem-v1/.artifacts/research-model-evaluation-20260928/quality-evidence.json" TargetMode="External" /><ns0:Relationship Id="NativeLink24" Type="http://schemas.openxmlformats.org/officeDocument/2006/relationships/hyperlink" Target="file:///Users/aryankeshri/conductor/workspaces/research-and-data/jerusalem-v1/.artifacts/research-model-evaluation-20260928/quality-evidence.json" TargetMode="External" /><ns0:Relationship Id="NativeLink25" Type="http://schemas.openxmlformats.org/officeDocument/2006/relationships/hyperlink" Target="file:///Users/aryankeshri/conductor/workspaces/research-and-data/jerusalem-v1/.artifacts/research-model-evaluation-20260928/quality-evidence.json" TargetMode="External" /><ns0:Relationship Id="NativeLink26" Type="http://schemas.openxmlformats.org/officeDocument/2006/relationships/hyperlink" Target="file:///Users/aryankeshri/conductor/workspaces/research-and-data/jerusalem-v1/.artifacts/research-model-evaluation-20260928/quality-evidence.json" TargetMode="External" /><ns0:Relationship Id="NativeLink27" Type="http://schemas.openxmlformats.org/officeDocument/2006/relationships/hyperlink" Target="file:///Users/aryankeshri/conductor/workspaces/research-and-data/jerusalem-v1/.artifacts/research-model-evaluation-20260928/quality-evidence.json" TargetMode="External" /><ns0:Relationship Id="NativeLink28" Type="http://schemas.openxmlformats.org/officeDocument/2006/relationships/hyperlink" Target="file:///Users/aryankeshri/conductor/workspaces/research-and-data/jerusalem-v1/.artifacts/research-model-evaluation-20260928/quality-evidence.json" TargetMode="External" /><ns0:Relationship Id="NativeLink29" Type="http://schemas.openxmlformats.org/officeDocument/2006/relationships/hyperlink" Target="file:///Users/aryankeshri/conductor/workspaces/research-and-data/jerusalem-v1/.artifacts/research-model-evaluation-20260928/quality-evidence.json" TargetMode="External" /><ns0:Relationship Id="NativeLink30" Type="http://schemas.openxmlformats.org/officeDocument/2006/relationships/hyperlink" Target="file:///Users/aryankeshri/conductor/workspaces/research-and-data/jerusalem-v1/.artifacts/research-model-evaluation-20260928/quality-evidence.json" TargetMode="External" /><ns0:Relationship Id="NativeLink31" Type="http://schemas.openxmlformats.org/officeDocument/2006/relationships/hyperlink" Target="file:///Users/aryankeshri/conductor/workspaces/research-and-data/jerusalem-v1/.artifacts/research-model-evaluation-20260928/quality-evidence.json" TargetMode="External" /><ns0:Relationship Id="NativeLink32" Type="http://schemas.openxmlformats.org/officeDocument/2006/relationships/hyperlink" Target="file:///Users/aryankeshri/conductor/workspaces/research-and-data/jerusalem-v1/.artifacts/research-model-evaluation-20260928/quality-evidence.json" TargetMode="External" /><ns0:Relationship Id="NativeLink33" Type="http://schemas.openxmlformats.org/officeDocument/2006/relationships/hyperlink" Target="file:///Users/aryankeshri/conductor/workspaces/research-and-data/jerusalem-v1/.artifacts/research-model-evaluation-20260928/quality-evidence.json" TargetMode="External" /><ns0:Relationship Id="NativeLink34" Type="http://schemas.openxmlformats.org/officeDocument/2006/relationships/hyperlink" Target="file:///Users/aryankeshri/conductor/workspaces/research-and-data/jerusalem-v1/.artifacts/research-model-evaluation-20260928/quality-evidence.json" TargetMode="External" /><ns0:Relationship Id="NativeLink35" Type="http://schemas.openxmlformats.org/officeDocument/2006/relationships/hyperlink" Target="file:///Users/aryankeshri/conductor/workspaces/research-and-data/jerusalem-v1/.artifacts/research-model-evaluation-20260928/quality-evidence.json" TargetMode="External" /><ns0:Relationship Id="NativeLink36" Type="http://schemas.openxmlformats.org/officeDocument/2006/relationships/hyperlink" Target="file:///Users/aryankeshri/conductor/workspaces/research-and-data/jerusalem-v1/.artifacts/research-model-evaluation-20260928/quality-evidence.json" TargetMode="External" /><ns0:Relationship Id="NativeLink37" Type="http://schemas.openxmlformats.org/officeDocument/2006/relationships/hyperlink" Target="file:///Users/aryankeshri/conductor/workspaces/research-and-data/jerusalem-v1/.artifacts/research-model-evaluation-20260928/quality-evidence.json" TargetMode="External" /><ns0:Relationship Id="NativeLink38" Type="http://schemas.openxmlformats.org/officeDocument/2006/relationships/hyperlink" Target="file:///Users/aryankeshri/conductor/workspaces/research-and-data/jerusalem-v1/.artifacts/research-model-evaluation-20260928/quality-evidence.json" TargetMode="External" /><ns0:Relationship Id="NativeLink39" Type="http://schemas.openxmlformats.org/officeDocument/2006/relationships/hyperlink" Target="file:///Users/aryankeshri/conductor/workspaces/research-and-data/jerusalem-v1/.artifacts/research-model-evaluation-20260928/quality-evidence.json" TargetMode="External" /><ns0:Relationship Id="NativeLink40" Type="http://schemas.openxmlformats.org/officeDocument/2006/relationships/hyperlink" Target="file:///Users/aryankeshri/conductor/workspaces/research-and-data/jerusalem-v1/.artifacts/research-model-evaluation-20260928/quality-evidence.json" TargetMode="External" /><ns0:Relationship Id="NativeLink41" Type="http://schemas.openxmlformats.org/officeDocument/2006/relationships/hyperlink" Target="file:///Users/aryankeshri/conductor/workspaces/research-and-data/jerusalem-v1/.artifacts/research-model-evaluation-20260928/quality-evidence.json" TargetMode="External" /><ns0:Relationship Id="NativeLink42" Type="http://schemas.openxmlformats.org/officeDocument/2006/relationships/hyperlink" Target="file:///Users/aryankeshri/conductor/workspaces/research-and-data/jerusalem-v1/.artifacts/research-model-evaluation-20260928/quality-evidence.json" TargetMode="External" /><ns0:Relationship Id="NativeLink43" Type="http://schemas.openxmlformats.org/officeDocument/2006/relationships/hyperlink" Target="file:///Users/aryankeshri/conductor/workspaces/research-and-data/jerusalem-v1/.artifacts/research-model-evaluation-20260928/quality-evidence.json" TargetMode="External" /><ns0:Relationship Id="NativeLink44" Type="http://schemas.openxmlformats.org/officeDocument/2006/relationships/hyperlink" Target="file:///Users/aryankeshri/conductor/workspaces/research-and-data/jerusalem-v1/.artifacts/research-model-evaluation-20260928/quality-evidence.json" TargetMode="External" /><ns0:Relationship Id="NativeLink45" Type="http://schemas.openxmlformats.org/officeDocument/2006/relationships/hyperlink" Target="file:///Users/aryankeshri/conductor/workspaces/research-and-data/jerusalem-v1/.artifacts/research-model-evaluation-20260928/quality-evidence.json" TargetMode="External" /><ns0:Relationship Id="NativeLink46" Type="http://schemas.openxmlformats.org/officeDocument/2006/relationships/hyperlink" Target="file:///Users/aryankeshri/conductor/workspaces/research-and-data/jerusalem-v1/.artifacts/research-model-evaluation-20260928/quality-evidence.json" TargetMode="External" /><ns0:Relationship Id="NativeLink47" Type="http://schemas.openxmlformats.org/officeDocument/2006/relationships/hyperlink" Target="file:///Users/aryankeshri/conductor/workspaces/research-and-data/jerusalem-v1/.artifacts/research-model-evaluation-20260928/quality-evidence.json" TargetMode="External" /><ns0:Relationship Id="NativeLink48" Type="http://schemas.openxmlformats.org/officeDocument/2006/relationships/hyperlink" Target="file:///Users/aryankeshri/conductor/workspaces/research-and-data/jerusalem-v1/.artifacts/research-model-evaluation-20260928/quality-evidence.json" TargetMode="External" /><ns0:Relationship Id="NativeLink49" Type="http://schemas.openxmlformats.org/officeDocument/2006/relationships/hyperlink" Target="file:///Users/aryankeshri/conductor/workspaces/research-and-data/jerusalem-v1/.artifacts/research-model-evaluation-20260928/quality-evidence.json" TargetMode="External" /><ns0:Relationship Id="NativeLink50" Type="http://schemas.openxmlformats.org/officeDocument/2006/relationships/hyperlink" Target="file:///Users/aryankeshri/conductor/workspaces/research-and-data/jerusalem-v1/.artifacts/research-model-evaluation-20260928/quality-evidence.json" TargetMode="External" /><ns0:Relationship Id="NativeLink51" Type="http://schemas.openxmlformats.org/officeDocument/2006/relationships/hyperlink" Target="file:///Users/aryankeshri/conductor/workspaces/research-and-data/jerusalem-v1/.artifacts/research-model-evaluation-20260928/quality-evidence.json" TargetMode="External" /><ns0:Relationship Id="NativeLink52" Type="http://schemas.openxmlformats.org/officeDocument/2006/relationships/hyperlink" Target="file:///Users/aryankeshri/conductor/workspaces/research-and-data/jerusalem-v1/.artifacts/research-model-evaluation-20260928/quality-evidence.json" TargetMode="External" /><ns0:Relationship Id="NativeLink53" Type="http://schemas.openxmlformats.org/officeDocument/2006/relationships/hyperlink" Target="file:///Users/aryankeshri/conductor/workspaces/research-and-data/jerusalem-v1/.artifacts/research-model-evaluation-20260928/quality-evidence.json" TargetMode="External" /><ns0:Relationship Id="NativeLink54" Type="http://schemas.openxmlformats.org/officeDocument/2006/relationships/hyperlink" Target="file:///Users/aryankeshri/conductor/workspaces/research-and-data/jerusalem-v1/.artifacts/research-model-evaluation-20260928/quality-evidence.json" TargetMode="External" /><ns0:Relationship Id="NativeLink55" Type="http://schemas.openxmlformats.org/officeDocument/2006/relationships/hyperlink" Target="file:///Users/aryankeshri/conductor/workspaces/research-and-data/jerusalem-v1/.artifacts/research-model-evaluation-20260928/quality-evidence.json" TargetMode="External" /><ns0:Relationship Id="NativeLink56" Type="http://schemas.openxmlformats.org/officeDocument/2006/relationships/hyperlink" Target="file:///Users/aryankeshri/conductor/workspaces/research-and-data/jerusalem-v1/.artifacts/research-model-evaluation-20260928/quality-evidence.json" TargetMode="External" /><ns0:Relationship Id="NativeLink57" Type="http://schemas.openxmlformats.org/officeDocument/2006/relationships/hyperlink" Target="file:///Users/aryankeshri/conductor/workspaces/research-and-data/jerusalem-v1/.artifacts/research-model-evaluation-20260928/quality-evidence.json" TargetMode="External" /><ns0:Relationship Id="NativeLink58" Type="http://schemas.openxmlformats.org/officeDocument/2006/relationships/hyperlink" Target="file:///Users/aryankeshri/conductor/workspaces/research-and-data/jerusalem-v1/.artifacts/research-model-evaluation-20260928/quality-evidence.json" TargetMode="External" /><ns0:Relationship Id="NativeLink59" Type="http://schemas.openxmlformats.org/officeDocument/2006/relationships/hyperlink" Target="file:///Users/aryankeshri/conductor/workspaces/research-and-data/jerusalem-v1/.artifacts/research-model-evaluation-20260928/quality-evidence.json" TargetMode="External" /><ns0:Relationship Id="NativeLink60" Type="http://schemas.openxmlformats.org/officeDocument/2006/relationships/hyperlink" Target="file:///Users/aryankeshri/conductor/workspaces/research-and-data/jerusalem-v1/.artifacts/research-model-evaluation-20260928/quality-evidence.json" TargetMode="External" /><ns0:Relationship Id="NativeLink61" Type="http://schemas.openxmlformats.org/officeDocument/2006/relationships/hyperlink" Target="file:///Users/aryankeshri/conductor/workspaces/research-and-data/jerusalem-v1/.artifacts/research-model-evaluation-20260928/PREMIER-QUALITY.md" TargetMode="External" /><ns0:Relationship Id="NativeLink62" Type="http://schemas.openxmlformats.org/officeDocument/2006/relationships/hyperlink" Target="file:///Users/aryankeshri/conductor/workspaces/research-and-data/jerusalem-v1/.artifacts/research-model-evaluation-20260928/PREMIER-QUALITY.md" TargetMode="External" /><ns0:Relationship Id="NativeLink63" Type="http://schemas.openxmlformats.org/officeDocument/2006/relationships/hyperlink" Target="file:///Users/aryankeshri/conductor/workspaces/research-and-data/jerusalem-v1/.artifacts/research-model-evaluation-20260928/PREMIER-QUALITY.md" TargetMode="External" /><ns0:Relationship Id="NativeLink64" Type="http://schemas.openxmlformats.org/officeDocument/2006/relationships/hyperlink" Target="file:///Users/aryankeshri/conductor/workspaces/research-and-data/jerusalem-v1/.artifacts/research-model-evaluation-20260928/PREMIER-QUALITY.md" TargetMode="External" /><ns0:Relationship Id="NativeLink65" Type="http://schemas.openxmlformats.org/officeDocument/2006/relationships/hyperlink" Target="file:///Users/aryankeshri/conductor/workspaces/research-and-data/jerusalem-v1/.artifacts/research-model-evaluation-20260928/PREMIER-QUALITY.md" TargetMode="External" /><ns0:Relationship Id="NativeLink66" Type="http://schemas.openxmlformats.org/officeDocument/2006/relationships/hyperlink" Target="file:///Users/aryankeshri/conductor/workspaces/research-and-data/jerusalem-v1/.artifacts/research-model-evaluation-20260928/PREMIER-QUALITY.md" TargetMode="External" /><ns0:Relationship Id="NativeLink67" Type="http://schemas.openxmlformats.org/officeDocument/2006/relationships/hyperlink" Target="file:///Users/aryankeshri/conductor/workspaces/research-and-data/jerusalem-v1/.artifacts/research-model-evaluation-20260928/PREMIER-QUALITY.md" TargetMode="External" /><ns0:Relationship Id="NativeLink68" Type="http://schemas.openxmlformats.org/officeDocument/2006/relationships/hyperlink" Target="file:///Users/aryankeshri/conductor/workspaces/research-and-data/jerusalem-v1/.artifacts/research-model-evaluation-20260928/PREMIER-QUALITY.md" TargetMode="External" /><ns0:Relationship Id="NativeLink69" Type="http://schemas.openxmlformats.org/officeDocument/2006/relationships/hyperlink" Target="file:///Users/aryankeshri/conductor/workspaces/research-and-data/jerusalem-v1/.artifacts/research-model-evaluation-20260928/PREMIER-QUALITY.md" TargetMode="External" /><ns0:Relationship Id="NativeLink70" Type="http://schemas.openxmlformats.org/officeDocument/2006/relationships/hyperlink" Target="file:///Users/aryankeshri/conductor/workspaces/research-and-data/jerusalem-v1/.artifacts/research-model-evaluation-20260928/PREMIER-QUALITY.md" TargetMode="External" /><ns0:Relationship Id="NativeLink71" Type="http://schemas.openxmlformats.org/officeDocument/2006/relationships/hyperlink" Target="file:///Users/aryankeshri/conductor/workspaces/research-and-data/jerusalem-v1/.artifacts/research-model-evaluation-20260928/PREMIER-QUALITY.md" TargetMode="External" /><ns0:Relationship Id="NativeLink72" Type="http://schemas.openxmlformats.org/officeDocument/2006/relationships/hyperlink" Target="file:///Users/aryankeshri/conductor/workspaces/research-and-data/jerusalem-v1/.artifacts/research-model-evaluation-20260928/PREMIER-QUALITY.md" TargetMode="External" /><ns0:Relationship Id="NativeLink73" Type="http://schemas.openxmlformats.org/officeDocument/2006/relationships/hyperlink" Target="file:///Users/aryankeshri/conductor/workspaces/research-and-data/jerusalem-v1/.artifacts/research-model-evaluation-20260928/FAILURES-ZAFRAN.md" TargetMode="External" /><ns0:Relationship Id="NativeLink74" Type="http://schemas.openxmlformats.org/officeDocument/2006/relationships/hyperlink" Target="file:///Users/aryankeshri/conductor/workspaces/research-and-data/jerusalem-v1/.artifacts/research-model-evaluation-20260928/FAILURES-ZAFRAN.md"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0f3877d485e74d99" /><ns0:Relationship Id="NativeLink1" Type="http://schemas.openxmlformats.org/officeDocument/2006/relationships/hyperlink" Target="file:///Users/aryankeshri/conductor/workspaces/research-and-data/jerusalem-v1/.artifacts/arv4-insight-premier-20260928-r24/REPORT.md" TargetMode="External" /><ns0:Relationship Id="NativeLink2" Type="http://schemas.openxmlformats.org/officeDocument/2006/relationships/hyperlink" Target="file:///Users/aryankeshri/conductor/workspaces/research-and-data/jerusalem-v1/.artifacts/arv4-insight-premier-muse-high-20260928-run05/REPORT.md" TargetMode="External" /><ns0:Relationship Id="NativeLink3" Type="http://schemas.openxmlformats.org/officeDocument/2006/relationships/hyperlink" Target="file:///Users/aryankeshri/conductor/workspaces/research-and-data/jerusalem-v1/.artifacts/arv4-insight-premier-grok47-high-20260928-run06/REPORT.md" TargetMode="External" /><ns0:Relationship Id="NativeLink4" Type="http://schemas.openxmlformats.org/officeDocument/2006/relationships/hyperlink" Target="file:///Users/aryankeshri/conductor/workspaces/research-and-data/jerusalem-v1/.artifacts/arv4-insight-premier-grok47-high-20260928-run06/REPORT.md" TargetMode="External" /><ns0:Relationship Id="NativeLink5" Type="http://schemas.openxmlformats.org/officeDocument/2006/relationships/hyperlink" Target="file:///Users/aryankeshri/conductor/workspaces/research-and-data/jerusalem-v1/.artifacts/research-model-comparison-20260928/XHIGH.md" TargetMode="External" /><ns0:Relationship Id="NativeLink6" Type="http://schemas.openxmlformats.org/officeDocument/2006/relationships/hyperlink" Target="file:///Users/aryankeshri/conductor/workspaces/research-and-data/jerusalem-v1/.artifacts/zafran-three-model-medium-20260928/grok47/REPORT.md" TargetMode="External" /><ns0:Relationship Id="NativeLink7" Type="http://schemas.openxmlformats.org/officeDocument/2006/relationships/hyperlink" Target="file:///Users/aryankeshri/conductor/workspaces/research-and-data/jerusalem-v1/.artifacts/zafran-three-model-medium-20260928/glm53/REPORT.md" TargetMode="External" /><ns0:Relationship Id="NativeLink8" Type="http://schemas.openxmlformats.org/officeDocument/2006/relationships/hyperlink" Target="file:///Users/aryankeshri/conductor/workspaces/research-and-data/jerusalem-v1/.artifacts/zafran-three-model-medium-20260928/glm53/REPORT.md" TargetMode="External" /><ns0:Relationship Id="NativeLink9" Type="http://schemas.openxmlformats.org/officeDocument/2006/relationships/hyperlink" Target="file:///Users/aryankeshri/conductor/workspaces/research-and-data/jerusalem-v1/.artifacts/zafran-three-model-medium-20260928/glm53/REPORT.md" TargetMode="External" /><ns0:Relationship Id="NativeLink10" Type="http://schemas.openxmlformats.org/officeDocument/2006/relationships/hyperlink" Target="file:///Users/aryankeshri/conductor/workspaces/research-and-data/jerusalem-v1/.artifacts/zafran-three-model-medium-20260928/glm53-untouched-02/final-model-metadata.json" TargetMode="External" /><ns0:Relationship Id="NativeLink11" Type="http://schemas.openxmlformats.org/officeDocument/2006/relationships/hyperlink" Target="file:///Users/aryankeshri/conductor/workspaces/research-and-data/jerusalem-v1/.artifacts/zafran-three-model-medium-20260928/glm53/operator-stop.json" TargetMode="External" /><ns0:Relationship Id="NativeLink12" Type="http://schemas.openxmlformats.org/officeDocument/2006/relationships/hyperlink" Target="file:///Users/aryankeshri/conductor/workspaces/research-and-data/jerusalem-v1/.artifacts/zafran-three-model-medium-20260928/grok46/finalize-audit.json" TargetMode="External" /><ns0:Relationship Id="NativeLink13" Type="http://schemas.openxmlformats.org/officeDocument/2006/relationships/hyperlink" Target="file:///Users/aryankeshri/conductor/workspaces/research-and-data/jerusalem-v1/.artifacts/zafran-three-model-medium-20260928/deepseek4pro-high/nick-parent-reference-failure.json" TargetMode="External" /><ns0:Relationship Id="NativeLink14" Type="http://schemas.openxmlformats.org/officeDocument/2006/relationships/hyperlink" Target="file:///Users/aryankeshri/conductor/workspaces/research-and-data/jerusalem-v1/.artifacts/zafran-three-model-medium-20260928/deepseek4pro-high/nick-parent-reference-failure.json" TargetMode="External" /><ns0:Relationship Id="NativeLink15" Type="http://schemas.openxmlformats.org/officeDocument/2006/relationships/hyperlink" Target="file:///Users/aryankeshri/conductor/workspaces/research-and-data/jerusalem-v1/.artifacts/zafran-three-model-medium-20260928/deepseek4pro-high/model-stop-metadata.json" TargetMode="External" /><ns0:Relationship Id="NativeLink16" Type="http://schemas.openxmlformats.org/officeDocument/2006/relationships/hyperlink" Target="file:///Users/aryankeshri/conductor/workspaces/research-and-data/jerusalem-v1/.artifacts/zafran-three-model-medium-20260928/deepseek4pro-high/model-stop-metadata.json" TargetMode="External" /><ns0:Relationship Id="NativeLink17" Type="http://schemas.openxmlformats.org/officeDocument/2006/relationships/hyperlink" Target="file:///Users/aryankeshri/conductor/workspaces/research-and-data/jerusalem-v1/.artifacts/zafran-three-model-medium-20260928/deepseek4pro-high/REPORT.md" TargetMode="External" /><ns0:Relationship Id="NativeLink18" Type="http://schemas.openxmlformats.org/officeDocument/2006/relationships/hyperlink" Target="file:///Users/aryankeshri/conductor/workspaces/research-and-data/jerusalem-v1/.artifacts/zafran-three-model-medium-20260928/muse-max/tool-activity.md" TargetMode="External" /><ns0:Relationship Id="NativeLink19" Type="http://schemas.openxmlformats.org/officeDocument/2006/relationships/hyperlink" Target="file:///Users/aryankeshri/conductor/workspaces/research-and-data/jerusalem-v1/.artifacts/zafran-three-model-medium-20260928/muse-max/tool-activity.md" TargetMode="External" /><ns0:Relationship Id="NativeLink20" Type="http://schemas.openxmlformats.org/officeDocument/2006/relationships/hyperlink" Target="file:///Users/aryankeshri/conductor/workspaces/research-and-data/jerusalem-v1/.artifacts/zafran-three-model-medium-20260928/muse-max/review/92047fb7-01a5-5611-802e-c886da87eb6a/narrative-payload.json" TargetMode="External" /><ns0:Relationship Id="NativeLink21" Type="http://schemas.openxmlformats.org/officeDocument/2006/relationships/hyperlink" Target="file:///Users/aryankeshri/conductor/workspaces/research-and-data/jerusalem-v1/.artifacts/zafran-three-model-medium-20260928/muse-max/REPORT.md" TargetMode="External" /><ns0:Relationship Id="NativeLink22" Type="http://schemas.openxmlformats.org/officeDocument/2006/relationships/hyperlink" Target="file:///Users/aryankeshri/conductor/workspaces/research-and-data/jerusalem-v1/.artifacts/zafran-three-model-medium-20260928/grok46/REPORT.md" TargetMode="External" /><ns0:Relationship Id="NativeLink23" Type="http://schemas.openxmlformats.org/officeDocument/2006/relationships/hyperlink" Target="file:///Users/aryankeshri/conductor/workspaces/research-and-data/jerusalem-v1/.artifacts/zafran-three-model-medium-20260928/grok46/REPORT.md" TargetMode="External" /><ns0:Relationship Id="NativeLink24" Type="http://schemas.openxmlformats.org/officeDocument/2006/relationships/hyperlink" Target="file:///Users/aryankeshri/conductor/workspaces/research-and-data/jerusalem-v1/.artifacts/arv4-insight-premier-20260928-r24/REPORT.md" TargetMode="External" /><ns0:Relationship Id="NativeLink25" Type="http://schemas.openxmlformats.org/officeDocument/2006/relationships/hyperlink" Target="file:///Users/aryankeshri/conductor/workspaces/research-and-data/jerusalem-v1/.artifacts/arv4-insight-premier-muse-20260928-run04/REVIEW-IN-PROGRESS.md" TargetMode="External" /><ns0:Relationship Id="NativeLink26" Type="http://schemas.openxmlformats.org/officeDocument/2006/relationships/hyperlink" Target="file:///Users/aryankeshri/conductor/workspaces/research-and-data/jerusalem-v1/.artifacts/arv4-insight-premier-muse-high-20260928-run05/REPORT.md" TargetMode="External" /><ns0:Relationship Id="NativeLink27" Type="http://schemas.openxmlformats.org/officeDocument/2006/relationships/hyperlink" Target="file:///Users/aryankeshri/conductor/workspaces/research-and-data/jerusalem-v1/.artifacts/arv4-insight-premier-grok47-high-20260928-run06/REPORT.md" TargetMode="External" /><ns0:Relationship Id="NativeLink28" Type="http://schemas.openxmlformats.org/officeDocument/2006/relationships/hyperlink" Target="file:///Users/aryankeshri/conductor/workspaces/research-and-data/jerusalem-v1/.artifacts/arv4-insight-premier-grok47-high-20260928-run06/REPORT.md" TargetMode="External" /><ns0:Relationship Id="NativeLink29" Type="http://schemas.openxmlformats.org/officeDocument/2006/relationships/hyperlink" Target="file:///Users/aryankeshri/conductor/workspaces/research-and-data/jerusalem-v1/.artifacts/research-model-comparison-20260928/XHIGH.md" TargetMode="External" /><ns0:Relationship Id="NativeLink30" Type="http://schemas.openxmlformats.org/officeDocument/2006/relationships/hyperlink" Target="file:///Users/aryankeshri/conductor/workspaces/research-and-data/jerusalem-v1/.artifacts/arv4-insight-premier-muse-high-20260928-run05/REPORT.md" TargetMode="External" /><ns0:Relationship Id="NativeLink31" Type="http://schemas.openxmlformats.org/officeDocument/2006/relationships/hyperlink" Target="file:///Users/aryankeshri/conductor/workspaces/research-and-data/jerusalem-v1/.artifacts/arv4-insight-premier-grok47-high-20260928-run06/REPORT.md" TargetMode="External" /><ns0:Relationship Id="NativeLink32" Type="http://schemas.openxmlformats.org/officeDocument/2006/relationships/hyperlink" Target="file:///Users/aryankeshri/conductor/workspaces/research-and-data/jerusalem-v1/.artifacts/arv4-insight-premier-muse-20260928-run01" TargetMode="External" /><ns0:Relationship Id="NativeLink33" Type="http://schemas.openxmlformats.org/officeDocument/2006/relationships/hyperlink" Target="file:///Users/aryankeshri/conductor/workspaces/research-and-data/jerusalem-v1/.artifacts/arv4-insight-premier-muse-20260928-run02" TargetMode="External" /><ns0:Relationship Id="NativeLink34" Type="http://schemas.openxmlformats.org/officeDocument/2006/relationships/hyperlink" Target="file:///Users/aryankeshri/conductor/workspaces/research-and-data/jerusalem-v1/.artifacts/arv4-insight-premier-muse-20260928-run03"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c457a0efe6d44402" /><ns0:Relationship Id="NativeLink1" Type="http://schemas.openxmlformats.org/officeDocument/2006/relationships/hyperlink" Target="file:///Users/aryankeshri/conductor/workspaces/research-and-data/jerusalem-v1/.artifacts/arv4-insight-premier-20260928-r24/account-initial/dossier.json" TargetMode="External" /><ns0:Relationship Id="NativeLink2" Type="http://schemas.openxmlformats.org/officeDocument/2006/relationships/hyperlink" Target="file:///Users/aryankeshri/conductor/workspaces/research-and-data/jerusalem-v1/.artifacts/arv4-insight-premier-20260928-r24/review/8e9c0c15-df34-5047-a1b6-c2a482b42a48/dossier.json" TargetMode="External" /><ns0:Relationship Id="NativeLink3" Type="http://schemas.openxmlformats.org/officeDocument/2006/relationships/hyperlink" Target="file:///Users/aryankeshri/conductor/workspaces/research-and-data/jerusalem-v1/.artifacts/arv4-insight-premier-20260928-r24/review/8e9c0c15-df34-5047-a1b6-c2a482b42a48/dossier.md" TargetMode="External" /><ns0:Relationship Id="NativeLink4" Type="http://schemas.openxmlformats.org/officeDocument/2006/relationships/hyperlink" Target="file:///Users/aryankeshri/conductor/workspaces/research-and-data/jerusalem-v1/.artifacts/arv4-insight-premier-20260928-r24/account-initial/page.md" TargetMode="External" /><ns0:Relationship Id="NativeLink5" Type="http://schemas.openxmlformats.org/officeDocument/2006/relationships/hyperlink" Target="file:///Users/aryankeshri/conductor/workspaces/research-and-data/jerusalem-v1/.artifacts/arv4-insight-premier-20260928-r24/account/page.md" TargetMode="External" /><ns0:Relationship Id="NativeLink6" Type="http://schemas.openxmlformats.org/officeDocument/2006/relationships/hyperlink" Target="file:///Users/aryankeshri/conductor/workspaces/research-and-data/jerusalem-v1/.artifacts/arv4-insight-premier-20260928-r24/timing.json" TargetMode="External" /><ns0:Relationship Id="NativeLink7" Type="http://schemas.openxmlformats.org/officeDocument/2006/relationships/hyperlink" Target="https://us.cloud.langfuse.com/project/cmu2j8vra0137ad0clp5vylx2/traces/9e0454353e33bcea1ae2c50ce19797e7" TargetMode="External" /><ns0:Relationship Id="NativeLink8" Type="http://schemas.openxmlformats.org/officeDocument/2006/relationships/hyperlink" Target="file:///Users/aryankeshri/conductor/workspaces/research-and-data/jerusalem-v1/.artifacts/arv4-insight-premier-20260928-r24/review/51acdfbb-d6c1-5ce2-8c7b-74761f40dddd/dossier.json" TargetMode="External" /><ns0:Relationship Id="NativeLink9" Type="http://schemas.openxmlformats.org/officeDocument/2006/relationships/hyperlink" Target="file:///Users/aryankeshri/conductor/workspaces/research-and-data/jerusalem-v1/.artifacts/arv4-insight-premier-20260928-r24/review/51acdfbb-d6c1-5ce2-8c7b-74761f40dddd/dossier.json" TargetMode="External" /><ns0:Relationship Id="NativeLink10" Type="http://schemas.openxmlformats.org/officeDocument/2006/relationships/hyperlink" Target="file:///Users/aryankeshri/conductor/workspaces/research-and-data/jerusalem-v1/.artifacts/arv4-insight-premier-20260928-r24/review/51acdfbb-d6c1-5ce2-8c7b-74761f40dddd/dossier.md" TargetMode="External" /><ns0:Relationship Id="NativeLink11" Type="http://schemas.openxmlformats.org/officeDocument/2006/relationships/hyperlink" Target="file:///Users/aryankeshri/conductor/workspaces/research-and-data/jerusalem-v1/.artifacts/arv4-insight-premier-20260928-r24/person/page.md" TargetMode="External" /><ns0:Relationship Id="NativeLink12" Type="http://schemas.openxmlformats.org/officeDocument/2006/relationships/hyperlink" Target="file:///Users/aryankeshri/conductor/workspaces/research-and-data/jerusalem-v1/.artifacts/arv4-insight-premier-20260928-r24/person/page.md" TargetMode="External" /><ns0:Relationship Id="NativeLink13" Type="http://schemas.openxmlformats.org/officeDocument/2006/relationships/hyperlink" Target="file:///Users/aryankeshri/conductor/workspaces/research-and-data/jerusalem-v1/.artifacts/arv4-insight-premier-20260928-r24/timing.json" TargetMode="External" /><ns0:Relationship Id="NativeLink14" Type="http://schemas.openxmlformats.org/officeDocument/2006/relationships/hyperlink" Target="https://us.cloud.langfuse.com/project/cmu2j8vra0137ad0clp5vylx2/traces/bc4e9a092da6554b2d329c61bab18e28" TargetMode="External" /><ns0:Relationship Id="NativeLink15" Type="http://schemas.openxmlformats.org/officeDocument/2006/relationships/hyperlink" Target="file:///Users/aryankeshri/conductor/workspaces/research-and-data/jerusalem-v1/.artifacts/arv4-insight-premier-20260928-r24/REPORT.md" TargetMode="External" /><ns0:Relationship Id="NativeLink16" Type="http://schemas.openxmlformats.org/officeDocument/2006/relationships/hyperlink" Target="https://us.cloud.langfuse.com/project/cmu2j8vra0137ad0clp5vylx2/traces/133c0f57d27ffe38dc748fc1a4f58e2a" TargetMode="External" /><ns0:Relationship Id="NativeLink17" Type="http://schemas.openxmlformats.org/officeDocument/2006/relationships/hyperlink" Target="https://us.cloud.langfuse.com/project/cmu2j8vra0137ad0clp5vylx2/traces/3d634e408ea7885a556b54dee59c4544" TargetMode="External" /><ns0:Relationship Id="NativeLink18" Type="http://schemas.openxmlformats.org/officeDocument/2006/relationships/hyperlink" Target="https://us.cloud.langfuse.com/project/cmu2j8vra0137ad0clp5vylx2/traces/87a46ec1f3a0818377209f99d3840737" TargetMode="External" /><ns0:Relationship Id="NativeLink19" Type="http://schemas.openxmlformats.org/officeDocument/2006/relationships/hyperlink" Target="https://us.cloud.langfuse.com/project/cmu2j8vra0137ad0clp5vylx2/traces/9e0454353e33bcea1ae2c50ce19797e7" TargetMode="External" /><ns0:Relationship Id="NativeLink20" Type="http://schemas.openxmlformats.org/officeDocument/2006/relationships/hyperlink" Target="https://us.cloud.langfuse.com/project/cmu2j8vra0137ad0clp5vylx2/traces/bc4e9a092da6554b2d329c61bab18e28" TargetMode="External" /><ns0:Relationship Id="NativeLink21" Type="http://schemas.openxmlformats.org/officeDocument/2006/relationships/hyperlink" Target="file:///Users/aryankeshri/conductor/workspaces/research-and-data/jerusalem-v1/.artifacts/arv4-insight-premier-20260928-r24/all-raw/manifest.json" TargetMode="External" /><ns0:Relationship Id="NativeLink22" Type="http://schemas.openxmlformats.org/officeDocument/2006/relationships/hyperlink" Target="file:///Users/aryankeshri/conductor/workspaces/research-and-data/jerusalem-v1/.artifacts/arv4-insight-premier-20260928-r24/review/provider_call_ledger.json" TargetMode="External" /><ns0:Relationship Id="NativeLink23" Type="http://schemas.openxmlformats.org/officeDocument/2006/relationships/hyperlink" Target="file:///Users/aryankeshri/conductor/workspaces/research-and-data/jerusalem-v1/.artifacts/arv4-insight-premier-muse-20260928-run04/review/c80f26cc-33e8-5529-b018-84f06ccbb325/dossier.json" TargetMode="External" /><ns0:Relationship Id="NativeLink24" Type="http://schemas.openxmlformats.org/officeDocument/2006/relationships/hyperlink" Target="file:///Users/aryankeshri/conductor/workspaces/research-and-data/jerusalem-v1/.artifacts/arv4-insight-premier-muse-20260928-run04/review/c80f26cc-33e8-5529-b018-84f06ccbb325/dossier.json" TargetMode="External" /><ns0:Relationship Id="NativeLink25" Type="http://schemas.openxmlformats.org/officeDocument/2006/relationships/hyperlink" Target="file:///Users/aryankeshri/conductor/workspaces/research-and-data/jerusalem-v1/.artifacts/arv4-insight-premier-muse-20260928-run04/review/c80f26cc-33e8-5529-b018-84f06ccbb325/dossier.md" TargetMode="External" /><ns0:Relationship Id="NativeLink26" Type="http://schemas.openxmlformats.org/officeDocument/2006/relationships/hyperlink" Target="file:///Users/aryankeshri/conductor/workspaces/research-and-data/jerusalem-v1/.artifacts/arv4-insight-premier-muse-20260928-run04/account-initial/page.md" TargetMode="External" /><ns0:Relationship Id="NativeLink27" Type="http://schemas.openxmlformats.org/officeDocument/2006/relationships/hyperlink" Target="file:///Users/aryankeshri/conductor/workspaces/research-and-data/jerusalem-v1/.artifacts/arv4-insight-premier-muse-20260928-run04/account/page.md" TargetMode="External" /><ns0:Relationship Id="NativeLink28" Type="http://schemas.openxmlformats.org/officeDocument/2006/relationships/hyperlink" Target="file:///Users/aryankeshri/conductor/workspaces/research-and-data/jerusalem-v1/.artifacts/arv4-insight-premier-muse-20260928-run04/timing.json" TargetMode="External" /><ns0:Relationship Id="NativeLink29" Type="http://schemas.openxmlformats.org/officeDocument/2006/relationships/hyperlink" Target="https://us.cloud.langfuse.com/project/cmu2j8vra0137ad0clp5vylx2/traces/09d6b7526fd695d6972b40d120e78840" TargetMode="External" /><ns0:Relationship Id="NativeLink30" Type="http://schemas.openxmlformats.org/officeDocument/2006/relationships/hyperlink" Target="file:///Users/aryankeshri/conductor/workspaces/research-and-data/jerusalem-v1/.artifacts/arv4-insight-premier-muse-20260928-run04/timing.json" TargetMode="External" /><ns0:Relationship Id="NativeLink31" Type="http://schemas.openxmlformats.org/officeDocument/2006/relationships/hyperlink" Target="https://us.cloud.langfuse.com/project/cmu2j8vra0137ad0clp5vylx2/traces/1573034d8e86eefb97ad0cc0811f9b8d" TargetMode="External" /><ns0:Relationship Id="NativeLink32" Type="http://schemas.openxmlformats.org/officeDocument/2006/relationships/hyperlink" Target="file:///Users/aryankeshri/conductor/workspaces/research-and-data/jerusalem-v1/.artifacts/arv4-insight-premier-muse-20260928-run04/REVIEW-IN-PROGRESS.md" TargetMode="External" /><ns0:Relationship Id="NativeLink33" Type="http://schemas.openxmlformats.org/officeDocument/2006/relationships/hyperlink" Target="https://us.cloud.langfuse.com/project/cmu2j8vra0137ad0clp5vylx2/traces/09d6b7526fd695d6972b40d120e78840" TargetMode="External" /><ns0:Relationship Id="NativeLink34" Type="http://schemas.openxmlformats.org/officeDocument/2006/relationships/hyperlink" Target="https://us.cloud.langfuse.com/project/cmu2j8vra0137ad0clp5vylx2/traces/1573034d8e86eefb97ad0cc0811f9b8d" TargetMode="External" /><ns0:Relationship Id="NativeLink35" Type="http://schemas.openxmlformats.org/officeDocument/2006/relationships/hyperlink" Target="file:///Users/aryankeshri/conductor/workspaces/research-and-data/jerusalem-v1/.artifacts/arv4-insight-premier-muse-20260928-run04/all-raw/manifest.json" TargetMode="External" /><ns0:Relationship Id="NativeLink36" Type="http://schemas.openxmlformats.org/officeDocument/2006/relationships/hyperlink" Target="file:///Users/aryankeshri/conductor/workspaces/research-and-data/jerusalem-v1/.artifacts/arv4-insight-premier-muse-20260928-run04/review/provider_call_ledger.json" TargetMode="External" /><ns0:Relationship Id="NativeLink37" Type="http://schemas.openxmlformats.org/officeDocument/2006/relationships/hyperlink" Target="file:///Users/aryankeshri/conductor/workspaces/research-and-data/jerusalem-v1/.artifacts/arv4-insight-premier-muse-high-20260928-run05/review/c80f26cc-33e8-5529-b018-84f06ccbb325/dossier.json" TargetMode="External" /><ns0:Relationship Id="NativeLink38" Type="http://schemas.openxmlformats.org/officeDocument/2006/relationships/hyperlink" Target="file:///Users/aryankeshri/conductor/workspaces/research-and-data/jerusalem-v1/.artifacts/arv4-insight-premier-muse-high-20260928-run05/review/c80f26cc-33e8-5529-b018-84f06ccbb325/dossier.json" TargetMode="External" /><ns0:Relationship Id="NativeLink39" Type="http://schemas.openxmlformats.org/officeDocument/2006/relationships/hyperlink" Target="file:///Users/aryankeshri/conductor/workspaces/research-and-data/jerusalem-v1/.artifacts/arv4-insight-premier-muse-high-20260928-run05/review/c80f26cc-33e8-5529-b018-84f06ccbb325/dossier.md" TargetMode="External" /><ns0:Relationship Id="NativeLink40" Type="http://schemas.openxmlformats.org/officeDocument/2006/relationships/hyperlink" Target="file:///Users/aryankeshri/conductor/workspaces/research-and-data/jerusalem-v1/.artifacts/arv4-insight-premier-muse-high-20260928-run05/account-initial/page.md" TargetMode="External" /><ns0:Relationship Id="NativeLink41" Type="http://schemas.openxmlformats.org/officeDocument/2006/relationships/hyperlink" Target="file:///Users/aryankeshri/conductor/workspaces/research-and-data/jerusalem-v1/.artifacts/arv4-insight-premier-muse-high-20260928-run05/account/page.md" TargetMode="External" /><ns0:Relationship Id="NativeLink42" Type="http://schemas.openxmlformats.org/officeDocument/2006/relationships/hyperlink" Target="file:///Users/aryankeshri/conductor/workspaces/research-and-data/jerusalem-v1/.artifacts/arv4-insight-premier-muse-high-20260928-run05/timing.json" TargetMode="External" /><ns0:Relationship Id="NativeLink43" Type="http://schemas.openxmlformats.org/officeDocument/2006/relationships/hyperlink" Target="https://us.cloud.langfuse.com/project/cmu2j8vra0137ad0clp5vylx2/traces/763b1fb55671bf00929c86c4f747ccbb" TargetMode="External" /><ns0:Relationship Id="NativeLink44" Type="http://schemas.openxmlformats.org/officeDocument/2006/relationships/hyperlink" Target="file:///Users/aryankeshri/conductor/workspaces/research-and-data/jerusalem-v1/.artifacts/arv4-insight-premier-muse-high-20260928-run05/review/ce2ce4f1-ab74-5f41-b739-6dd5a201088e/dossier.json" TargetMode="External" /><ns0:Relationship Id="NativeLink45" Type="http://schemas.openxmlformats.org/officeDocument/2006/relationships/hyperlink" Target="file:///Users/aryankeshri/conductor/workspaces/research-and-data/jerusalem-v1/.artifacts/arv4-insight-premier-muse-high-20260928-run05/review/ce2ce4f1-ab74-5f41-b739-6dd5a201088e/dossier.json" TargetMode="External" /><ns0:Relationship Id="NativeLink46" Type="http://schemas.openxmlformats.org/officeDocument/2006/relationships/hyperlink" Target="file:///Users/aryankeshri/conductor/workspaces/research-and-data/jerusalem-v1/.artifacts/arv4-insight-premier-muse-high-20260928-run05/review/ce2ce4f1-ab74-5f41-b739-6dd5a201088e/dossier.md" TargetMode="External" /><ns0:Relationship Id="NativeLink47" Type="http://schemas.openxmlformats.org/officeDocument/2006/relationships/hyperlink" Target="file:///Users/aryankeshri/conductor/workspaces/research-and-data/jerusalem-v1/.artifacts/arv4-insight-premier-muse-high-20260928-run05/person/unpublished-narrative-draft.md" TargetMode="External" /><ns0:Relationship Id="NativeLink48" Type="http://schemas.openxmlformats.org/officeDocument/2006/relationships/hyperlink" Target="file:///Users/aryankeshri/conductor/workspaces/research-and-data/jerusalem-v1/.artifacts/arv4-insight-premier-muse-high-20260928-run05/timing.json" TargetMode="External" /><ns0:Relationship Id="NativeLink49" Type="http://schemas.openxmlformats.org/officeDocument/2006/relationships/hyperlink" Target="https://us.cloud.langfuse.com/project/cmu2j8vra0137ad0clp5vylx2/traces/b5b7bf75299d5fe23ad42a3f881c322d" TargetMode="External" /><ns0:Relationship Id="NativeLink50" Type="http://schemas.openxmlformats.org/officeDocument/2006/relationships/hyperlink" Target="file:///Users/aryankeshri/conductor/workspaces/research-and-data/jerusalem-v1/.artifacts/arv4-insight-premier-muse-high-20260928-run05/REPORT.md" TargetMode="External" /><ns0:Relationship Id="NativeLink51" Type="http://schemas.openxmlformats.org/officeDocument/2006/relationships/hyperlink" Target="https://us.cloud.langfuse.com/project/cmu2j8vra0137ad0clp5vylx2/traces/763b1fb55671bf00929c86c4f747ccbb" TargetMode="External" /><ns0:Relationship Id="NativeLink52" Type="http://schemas.openxmlformats.org/officeDocument/2006/relationships/hyperlink" Target="https://us.cloud.langfuse.com/project/cmu2j8vra0137ad0clp5vylx2/traces/b5b7bf75299d5fe23ad42a3f881c322d" TargetMode="External" /><ns0:Relationship Id="NativeLink53" Type="http://schemas.openxmlformats.org/officeDocument/2006/relationships/hyperlink" Target="https://us.cloud.langfuse.com/project/cmu2j8vra0137ad0clp5vylx2/traces/1dad2e49b76d56685760a078906793b7" TargetMode="External" /><ns0:Relationship Id="NativeLink54" Type="http://schemas.openxmlformats.org/officeDocument/2006/relationships/hyperlink" Target="file:///Users/aryankeshri/conductor/workspaces/research-and-data/jerusalem-v1/.artifacts/research-model-comparison-20260928/muse-high/model-calls.csv" TargetMode="External" /><ns0:Relationship Id="NativeLink55" Type="http://schemas.openxmlformats.org/officeDocument/2006/relationships/hyperlink" Target="file:///Users/aryankeshri/conductor/workspaces/research-and-data/jerusalem-v1/.artifacts/research-model-comparison-20260928/muse-high/tool-activity.md" TargetMode="External" /><ns0:Relationship Id="NativeLink56" Type="http://schemas.openxmlformats.org/officeDocument/2006/relationships/hyperlink" Target="file:///Users/aryankeshri/conductor/workspaces/research-and-data/jerusalem-v1/.artifacts/research-model-comparison-20260928/muse-high/tool-activity.json" TargetMode="External" /><ns0:Relationship Id="NativeLink57" Type="http://schemas.openxmlformats.org/officeDocument/2006/relationships/hyperlink" Target="file:///Users/aryankeshri/conductor/workspaces/research-and-data/jerusalem-v1/.artifacts/research-model-comparison-20260928/muse-high/provider-attempts.json" TargetMode="External" /><ns0:Relationship Id="NativeLink58" Type="http://schemas.openxmlformats.org/officeDocument/2006/relationships/hyperlink" Target="file:///Users/aryankeshri/conductor/workspaces/research-and-data/jerusalem-v1/.artifacts/arv4-insight-premier-muse-high-20260928-run05/all-raw/manifest.json" TargetMode="External" /><ns0:Relationship Id="NativeLink59" Type="http://schemas.openxmlformats.org/officeDocument/2006/relationships/hyperlink" Target="file:///Users/aryankeshri/conductor/workspaces/research-and-data/jerusalem-v1/.artifacts/arv4-insight-premier-muse-high-20260928-run05/trace-verification.json" TargetMode="External" /><ns0:Relationship Id="NativeLink60" Type="http://schemas.openxmlformats.org/officeDocument/2006/relationships/hyperlink" Target="file:///Users/aryankeshri/conductor/workspaces/research-and-data/jerusalem-v1/.artifacts/arv4-insight-premier-muse-high-20260928-run05/review/provider_call_ledger.json" TargetMode="External" /><ns0:Relationship Id="NativeLink61" Type="http://schemas.openxmlformats.org/officeDocument/2006/relationships/hyperlink" Target="file:///Users/aryankeshri/conductor/workspaces/research-and-data/jerusalem-v1/.artifacts/arv4-insight-premier-grok47-high-20260928-run06/review/c80f26cc-33e8-5529-b018-84f06ccbb325/dossier.json" TargetMode="External" /><ns0:Relationship Id="NativeLink62" Type="http://schemas.openxmlformats.org/officeDocument/2006/relationships/hyperlink" Target="file:///Users/aryankeshri/conductor/workspaces/research-and-data/jerusalem-v1/.artifacts/arv4-insight-premier-grok47-high-20260928-run06/review/c80f26cc-33e8-5529-b018-84f06ccbb325/dossier.json" TargetMode="External" /><ns0:Relationship Id="NativeLink63" Type="http://schemas.openxmlformats.org/officeDocument/2006/relationships/hyperlink" Target="file:///Users/aryankeshri/conductor/workspaces/research-and-data/jerusalem-v1/.artifacts/arv4-insight-premier-grok47-high-20260928-run06/review/c80f26cc-33e8-5529-b018-84f06ccbb325/dossier.md" TargetMode="External" /><ns0:Relationship Id="NativeLink64" Type="http://schemas.openxmlformats.org/officeDocument/2006/relationships/hyperlink" Target="file:///Users/aryankeshri/conductor/workspaces/research-and-data/jerusalem-v1/.artifacts/arv4-insight-premier-grok47-high-20260928-run06/account/page.md" TargetMode="External" /><ns0:Relationship Id="NativeLink65" Type="http://schemas.openxmlformats.org/officeDocument/2006/relationships/hyperlink" Target="file:///Users/aryankeshri/conductor/workspaces/research-and-data/jerusalem-v1/.artifacts/arv4-insight-premier-grok47-high-20260928-run06/timing.json" TargetMode="External" /><ns0:Relationship Id="NativeLink66" Type="http://schemas.openxmlformats.org/officeDocument/2006/relationships/hyperlink" Target="https://us.cloud.langfuse.com/project/cmu2j8vra0137ad0clp5vylx2/traces/2ceb395b6e16ab3d6234f31b99e250ec" TargetMode="External" /><ns0:Relationship Id="NativeLink67" Type="http://schemas.openxmlformats.org/officeDocument/2006/relationships/hyperlink" Target="file:///Users/aryankeshri/conductor/workspaces/research-and-data/jerusalem-v1/.artifacts/arv4-insight-premier-grok47-high-20260928-run06/review/6bc03f41-fd75-5ce8-998d-6ec983efd86c/dossier.json" TargetMode="External" /><ns0:Relationship Id="NativeLink68" Type="http://schemas.openxmlformats.org/officeDocument/2006/relationships/hyperlink" Target="file:///Users/aryankeshri/conductor/workspaces/research-and-data/jerusalem-v1/.artifacts/arv4-insight-premier-grok47-high-20260928-run06/review/6bc03f41-fd75-5ce8-998d-6ec983efd86c/dossier.json" TargetMode="External" /><ns0:Relationship Id="NativeLink69" Type="http://schemas.openxmlformats.org/officeDocument/2006/relationships/hyperlink" Target="file:///Users/aryankeshri/conductor/workspaces/research-and-data/jerusalem-v1/.artifacts/arv4-insight-premier-grok47-high-20260928-run06/review/6bc03f41-fd75-5ce8-998d-6ec983efd86c/dossier.md" TargetMode="External" /><ns0:Relationship Id="NativeLink70" Type="http://schemas.openxmlformats.org/officeDocument/2006/relationships/hyperlink" Target="file:///Users/aryankeshri/conductor/workspaces/research-and-data/jerusalem-v1/.artifacts/arv4-insight-premier-grok47-high-20260928-run06/person/page.md" TargetMode="External" /><ns0:Relationship Id="NativeLink71" Type="http://schemas.openxmlformats.org/officeDocument/2006/relationships/hyperlink" Target="file:///Users/aryankeshri/conductor/workspaces/research-and-data/jerusalem-v1/.artifacts/arv4-insight-premier-grok47-high-20260928-run06/person/page.md" TargetMode="External" /><ns0:Relationship Id="NativeLink72" Type="http://schemas.openxmlformats.org/officeDocument/2006/relationships/hyperlink" Target="file:///Users/aryankeshri/conductor/workspaces/research-and-data/jerusalem-v1/.artifacts/arv4-insight-premier-grok47-high-20260928-run06/timing.json" TargetMode="External" /><ns0:Relationship Id="NativeLink73" Type="http://schemas.openxmlformats.org/officeDocument/2006/relationships/hyperlink" Target="https://us.cloud.langfuse.com/project/cmu2j8vra0137ad0clp5vylx2/traces/6a3fba686d19cf48dcb3269535fa8325" TargetMode="External" /><ns0:Relationship Id="NativeLink74" Type="http://schemas.openxmlformats.org/officeDocument/2006/relationships/hyperlink" Target="file:///Users/aryankeshri/conductor/workspaces/research-and-data/jerusalem-v1/.artifacts/arv4-insight-premier-grok47-high-20260928-run06/REPORT.md" TargetMode="External" /><ns0:Relationship Id="NativeLink75" Type="http://schemas.openxmlformats.org/officeDocument/2006/relationships/hyperlink" Target="https://us.cloud.langfuse.com/project/cmu2j8vra0137ad0clp5vylx2/traces/2ceb395b6e16ab3d6234f31b99e250ec" TargetMode="External" /><ns0:Relationship Id="NativeLink76" Type="http://schemas.openxmlformats.org/officeDocument/2006/relationships/hyperlink" Target="https://us.cloud.langfuse.com/project/cmu2j8vra0137ad0clp5vylx2/traces/6a3fba686d19cf48dcb3269535fa8325" TargetMode="External" /><ns0:Relationship Id="NativeLink77" Type="http://schemas.openxmlformats.org/officeDocument/2006/relationships/hyperlink" Target="https://us.cloud.langfuse.com/project/cmu2j8vra0137ad0clp5vylx2/traces/67b24c401be993adce8c82581a7d4189" TargetMode="External" /><ns0:Relationship Id="NativeLink78" Type="http://schemas.openxmlformats.org/officeDocument/2006/relationships/hyperlink" Target="file:///Users/aryankeshri/conductor/workspaces/research-and-data/jerusalem-v1/.artifacts/research-model-comparison-20260928/grok-high/model-calls.csv" TargetMode="External" /><ns0:Relationship Id="NativeLink79" Type="http://schemas.openxmlformats.org/officeDocument/2006/relationships/hyperlink" Target="file:///Users/aryankeshri/conductor/workspaces/research-and-data/jerusalem-v1/.artifacts/research-model-comparison-20260928/grok-high/tool-activity.md" TargetMode="External" /><ns0:Relationship Id="NativeLink80" Type="http://schemas.openxmlformats.org/officeDocument/2006/relationships/hyperlink" Target="file:///Users/aryankeshri/conductor/workspaces/research-and-data/jerusalem-v1/.artifacts/research-model-comparison-20260928/grok-high/tool-activity.json" TargetMode="External" /><ns0:Relationship Id="NativeLink81" Type="http://schemas.openxmlformats.org/officeDocument/2006/relationships/hyperlink" Target="file:///Users/aryankeshri/conductor/workspaces/research-and-data/jerusalem-v1/.artifacts/research-model-comparison-20260928/grok-high/provider-attempts.json" TargetMode="External" /><ns0:Relationship Id="NativeLink82" Type="http://schemas.openxmlformats.org/officeDocument/2006/relationships/hyperlink" Target="file:///Users/aryankeshri/conductor/workspaces/research-and-data/jerusalem-v1/.artifacts/arv4-insight-premier-grok47-high-20260928-run06/all-raw/manifest.json" TargetMode="External" /><ns0:Relationship Id="NativeLink83" Type="http://schemas.openxmlformats.org/officeDocument/2006/relationships/hyperlink" Target="file:///Users/aryankeshri/conductor/workspaces/research-and-data/jerusalem-v1/.artifacts/arv4-insight-premier-grok47-high-20260928-run06/trace-verification.json" TargetMode="External" /><ns0:Relationship Id="NativeLink84" Type="http://schemas.openxmlformats.org/officeDocument/2006/relationships/hyperlink" Target="file:///Users/aryankeshri/conductor/workspaces/research-and-data/jerusalem-v1/.artifacts/arv4-insight-premier-grok47-high-20260928-run06/review/provider_call_ledger.json" TargetMode="External" /><ns0:Relationship Id="NativeLink85" Type="http://schemas.openxmlformats.org/officeDocument/2006/relationships/hyperlink" Target="file:///Users/aryankeshri/conductor/workspaces/research-and-data/jerusalem-v1/.artifacts/arv4-insight-premier-muse-xhigh-20260928-run07/review/c80f26cc-33e8-5529-b018-84f06ccbb325/dossier.json" TargetMode="External" /><ns0:Relationship Id="NativeLink86" Type="http://schemas.openxmlformats.org/officeDocument/2006/relationships/hyperlink" Target="file:///Users/aryankeshri/conductor/workspaces/research-and-data/jerusalem-v1/.artifacts/arv4-insight-premier-muse-xhigh-20260928-run07/review/c80f26cc-33e8-5529-b018-84f06ccbb325/dossier.json" TargetMode="External" /><ns0:Relationship Id="NativeLink87" Type="http://schemas.openxmlformats.org/officeDocument/2006/relationships/hyperlink" Target="file:///Users/aryankeshri/conductor/workspaces/research-and-data/jerusalem-v1/.artifacts/arv4-insight-premier-muse-xhigh-20260928-run07/review/c80f26cc-33e8-5529-b018-84f06ccbb325/dossier.md" TargetMode="External" /><ns0:Relationship Id="NativeLink88" Type="http://schemas.openxmlformats.org/officeDocument/2006/relationships/hyperlink" Target="file:///Users/aryankeshri/conductor/workspaces/research-and-data/jerusalem-v1/.artifacts/arv4-insight-premier-muse-xhigh-20260928-run07/account-initial/page.md" TargetMode="External" /><ns0:Relationship Id="NativeLink89" Type="http://schemas.openxmlformats.org/officeDocument/2006/relationships/hyperlink" Target="file:///Users/aryankeshri/conductor/workspaces/research-and-data/jerusalem-v1/.artifacts/arv4-insight-premier-muse-xhigh-20260928-run07/account/page.md" TargetMode="External" /><ns0:Relationship Id="NativeLink90" Type="http://schemas.openxmlformats.org/officeDocument/2006/relationships/hyperlink" Target="file:///Users/aryankeshri/conductor/workspaces/research-and-data/jerusalem-v1/.artifacts/arv4-insight-premier-muse-xhigh-20260928-run07/timing.json" TargetMode="External" /><ns0:Relationship Id="NativeLink91" Type="http://schemas.openxmlformats.org/officeDocument/2006/relationships/hyperlink" Target="https://us.cloud.langfuse.com/project/cmu2j8vra0137ad0clp5vylx2/traces/a482c413306719771392836e4fc118b1" TargetMode="External" /><ns0:Relationship Id="NativeLink92" Type="http://schemas.openxmlformats.org/officeDocument/2006/relationships/hyperlink" Target="file:///Users/aryankeshri/conductor/workspaces/research-and-data/jerusalem-v1/.artifacts/arv4-insight-premier-muse-xhigh-20260928-run07/timing.json" TargetMode="External" /><ns0:Relationship Id="NativeLink93" Type="http://schemas.openxmlformats.org/officeDocument/2006/relationships/hyperlink" Target="https://us.cloud.langfuse.com/project/cmu2j8vra0137ad0clp5vylx2/traces/bce5b184ae936c1b2f630ecd0b477137" TargetMode="External" /><ns0:Relationship Id="NativeLink94" Type="http://schemas.openxmlformats.org/officeDocument/2006/relationships/hyperlink" Target="file:///Users/aryankeshri/conductor/workspaces/research-and-data/jerusalem-v1/.artifacts/research-model-comparison-20260928/XHIGH.md" TargetMode="External" /><ns0:Relationship Id="NativeLink95" Type="http://schemas.openxmlformats.org/officeDocument/2006/relationships/hyperlink" Target="https://us.cloud.langfuse.com/project/cmu2j8vra0137ad0clp5vylx2/traces/a482c413306719771392836e4fc118b1" TargetMode="External" /><ns0:Relationship Id="NativeLink96" Type="http://schemas.openxmlformats.org/officeDocument/2006/relationships/hyperlink" Target="https://us.cloud.langfuse.com/project/cmu2j8vra0137ad0clp5vylx2/traces/bce5b184ae936c1b2f630ecd0b477137" TargetMode="External" /><ns0:Relationship Id="NativeLink97" Type="http://schemas.openxmlformats.org/officeDocument/2006/relationships/hyperlink" Target="file:///Users/aryankeshri/conductor/workspaces/research-and-data/jerusalem-v1/.artifacts/research-model-comparison-20260928/muse-xhigh/model-calls.csv" TargetMode="External" /><ns0:Relationship Id="NativeLink98" Type="http://schemas.openxmlformats.org/officeDocument/2006/relationships/hyperlink" Target="file:///Users/aryankeshri/conductor/workspaces/research-and-data/jerusalem-v1/.artifacts/research-model-comparison-20260928/muse-xhigh/tool-activity.md" TargetMode="External" /><ns0:Relationship Id="NativeLink99" Type="http://schemas.openxmlformats.org/officeDocument/2006/relationships/hyperlink" Target="file:///Users/aryankeshri/conductor/workspaces/research-and-data/jerusalem-v1/.artifacts/research-model-comparison-20260928/muse-xhigh/tool-activity.json" TargetMode="External" /><ns0:Relationship Id="NativeLink100" Type="http://schemas.openxmlformats.org/officeDocument/2006/relationships/hyperlink" Target="file:///Users/aryankeshri/conductor/workspaces/research-and-data/jerusalem-v1/.artifacts/research-model-comparison-20260928/muse-xhigh/provider-attempts.json" TargetMode="External" /><ns0:Relationship Id="NativeLink101" Type="http://schemas.openxmlformats.org/officeDocument/2006/relationships/hyperlink" Target="file:///Users/aryankeshri/conductor/workspaces/research-and-data/jerusalem-v1/.artifacts/arv4-insight-premier-muse-xhigh-20260928-run07/all-raw/manifest.json" TargetMode="External" /><ns0:Relationship Id="NativeLink102" Type="http://schemas.openxmlformats.org/officeDocument/2006/relationships/hyperlink" Target="file:///Users/aryankeshri/conductor/workspaces/research-and-data/jerusalem-v1/.artifacts/arv4-insight-premier-muse-xhigh-20260928-run07/trace-verification.json" TargetMode="External" /><ns0:Relationship Id="NativeLink103" Type="http://schemas.openxmlformats.org/officeDocument/2006/relationships/hyperlink" Target="file:///Users/aryankeshri/conductor/workspaces/research-and-data/jerusalem-v1/.artifacts/arv4-insight-premier-muse-xhigh-20260928-run07/review/provider_call_ledger.json" TargetMode="External" /><ns0:Relationship Id="NativeLink104" Type="http://schemas.openxmlformats.org/officeDocument/2006/relationships/hyperlink" Target="file:///Users/aryankeshri/conductor/workspaces/research-and-data/jerusalem-v1/.artifacts/zafran-three-model-medium-20260928/grok46/review/59d4870e-2207-56ca-a50b-e76ab86f6a53/dossier.json" TargetMode="External" /><ns0:Relationship Id="NativeLink105" Type="http://schemas.openxmlformats.org/officeDocument/2006/relationships/hyperlink" Target="file:///Users/aryankeshri/conductor/workspaces/research-and-data/jerusalem-v1/.artifacts/zafran-three-model-medium-20260928/grok46/review/59d4870e-2207-56ca-a50b-e76ab86f6a53/dossier.md" TargetMode="External" /><ns0:Relationship Id="NativeLink106" Type="http://schemas.openxmlformats.org/officeDocument/2006/relationships/hyperlink" Target="file:///Users/aryankeshri/conductor/workspaces/research-and-data/jerusalem-v1/.artifacts/zafran-three-model-medium-20260928/grok46/account/page.md" TargetMode="External" /><ns0:Relationship Id="NativeLink107" Type="http://schemas.openxmlformats.org/officeDocument/2006/relationships/hyperlink" Target="file:///Users/aryankeshri/conductor/workspaces/research-and-data/jerusalem-v1/.artifacts/zafran-three-model-medium-20260928/grok46/account/display-blocks.json" TargetMode="External" /><ns0:Relationship Id="NativeLink108" Type="http://schemas.openxmlformats.org/officeDocument/2006/relationships/hyperlink" Target="https://us.cloud.langfuse.com/project/cmu2j8vra0137ad0clp5vylx2/traces/290f554826fcc0c26b41fa5069c958fa" TargetMode="External" /><ns0:Relationship Id="NativeLink109" Type="http://schemas.openxmlformats.org/officeDocument/2006/relationships/hyperlink" Target="file:///Users/aryankeshri/conductor/workspaces/research-and-data/jerusalem-v1/.artifacts/zafran-three-model-medium-20260928/grok46/review/04070cd2-53e0-510c-8373-2f6511f15052/dossier.json" TargetMode="External" /><ns0:Relationship Id="NativeLink110" Type="http://schemas.openxmlformats.org/officeDocument/2006/relationships/hyperlink" Target="file:///Users/aryankeshri/conductor/workspaces/research-and-data/jerusalem-v1/.artifacts/zafran-three-model-medium-20260928/grok46/review/04070cd2-53e0-510c-8373-2f6511f15052/dossier.md" TargetMode="External" /><ns0:Relationship Id="NativeLink111" Type="http://schemas.openxmlformats.org/officeDocument/2006/relationships/hyperlink" Target="file:///Users/aryankeshri/conductor/workspaces/research-and-data/jerusalem-v1/.artifacts/zafran-three-model-medium-20260928/grok46/person-3a15236a-f579-42f8-8c0a-070a67f30ff5/page.md" TargetMode="External" /><ns0:Relationship Id="NativeLink112" Type="http://schemas.openxmlformats.org/officeDocument/2006/relationships/hyperlink" Target="file:///Users/aryankeshri/conductor/workspaces/research-and-data/jerusalem-v1/.artifacts/zafran-three-model-medium-20260928/grok46/person-3a15236a-f579-42f8-8c0a-070a67f30ff5/display-blocks.json" TargetMode="External" /><ns0:Relationship Id="NativeLink113" Type="http://schemas.openxmlformats.org/officeDocument/2006/relationships/hyperlink" Target="https://us.cloud.langfuse.com/project/cmu2j8vra0137ad0clp5vylx2/traces/cc14f19bb38c4dc8231497ed7ab55bef" TargetMode="External" /><ns0:Relationship Id="NativeLink114" Type="http://schemas.openxmlformats.org/officeDocument/2006/relationships/hyperlink" Target="file:///Users/aryankeshri/conductor/workspaces/research-and-data/jerusalem-v1/.artifacts/zafran-three-model-medium-20260928/grok46/review/05d4fa83-5d48-5d21-ab82-867e8af0819d/dossier.json" TargetMode="External" /><ns0:Relationship Id="NativeLink115" Type="http://schemas.openxmlformats.org/officeDocument/2006/relationships/hyperlink" Target="file:///Users/aryankeshri/conductor/workspaces/research-and-data/jerusalem-v1/.artifacts/zafran-three-model-medium-20260928/grok46/review/05d4fa83-5d48-5d21-ab82-867e8af0819d/dossier.md" TargetMode="External" /><ns0:Relationship Id="NativeLink116" Type="http://schemas.openxmlformats.org/officeDocument/2006/relationships/hyperlink" Target="file:///Users/aryankeshri/conductor/workspaces/research-and-data/jerusalem-v1/.artifacts/zafran-three-model-medium-20260928/grok46/person-c438c42b-ea48-4b3c-b71d-22cb216f32f7/page.md" TargetMode="External" /><ns0:Relationship Id="NativeLink117" Type="http://schemas.openxmlformats.org/officeDocument/2006/relationships/hyperlink" Target="file:///Users/aryankeshri/conductor/workspaces/research-and-data/jerusalem-v1/.artifacts/zafran-three-model-medium-20260928/grok46/person-c438c42b-ea48-4b3c-b71d-22cb216f32f7/display-blocks.json" TargetMode="External" /><ns0:Relationship Id="NativeLink118" Type="http://schemas.openxmlformats.org/officeDocument/2006/relationships/hyperlink" Target="https://us.cloud.langfuse.com/project/cmu2j8vra0137ad0clp5vylx2/traces/4f46c67e7b578484ecb051982de67bf7" TargetMode="External" /><ns0:Relationship Id="NativeLink119" Type="http://schemas.openxmlformats.org/officeDocument/2006/relationships/hyperlink" Target="file:///Users/aryankeshri/conductor/workspaces/research-and-data/jerusalem-v1/.artifacts/zafran-three-model-medium-20260928/grok46/REPORT.md" TargetMode="External" /><ns0:Relationship Id="NativeLink120" Type="http://schemas.openxmlformats.org/officeDocument/2006/relationships/hyperlink" Target="file:///Users/aryankeshri/conductor/workspaces/research-and-data/jerusalem-v1/.artifacts/zafran-three-model-medium-20260928/grok46/account-initial/dossier.json" TargetMode="External" /><ns0:Relationship Id="NativeLink121" Type="http://schemas.openxmlformats.org/officeDocument/2006/relationships/hyperlink" Target="file:///Users/aryankeshri/conductor/workspaces/research-and-data/jerusalem-v1/.artifacts/zafran-three-model-medium-20260928/grok46/account-initial/dossier.md" TargetMode="External" /><ns0:Relationship Id="NativeLink122" Type="http://schemas.openxmlformats.org/officeDocument/2006/relationships/hyperlink" Target="file:///Users/aryankeshri/conductor/workspaces/research-and-data/jerusalem-v1/.artifacts/zafran-three-model-medium-20260928/grok46/account-initial/page.md" TargetMode="External" /><ns0:Relationship Id="NativeLink123" Type="http://schemas.openxmlformats.org/officeDocument/2006/relationships/hyperlink" Target="file:///Users/aryankeshri/conductor/workspaces/research-and-data/jerusalem-v1/.artifacts/zafran-three-model-medium-20260928/grok46/account/page.md" TargetMode="External" /><ns0:Relationship Id="NativeLink124" Type="http://schemas.openxmlformats.org/officeDocument/2006/relationships/hyperlink" Target="file:///Users/aryankeshri/conductor/workspaces/research-and-data/jerusalem-v1/.artifacts/zafran-three-model-medium-20260928/grok46/all-raw/manifest.json" TargetMode="External" /><ns0:Relationship Id="NativeLink125" Type="http://schemas.openxmlformats.org/officeDocument/2006/relationships/hyperlink" Target="file:///Users/aryankeshri/conductor/workspaces/research-and-data/jerusalem-v1/.artifacts/research-model-evaluation-20260928/grok46-model-calls.csv" TargetMode="External" /><ns0:Relationship Id="NativeLink126" Type="http://schemas.openxmlformats.org/officeDocument/2006/relationships/hyperlink" Target="file:///Users/aryankeshri/conductor/workspaces/research-and-data/jerusalem-v1/.artifacts/zafran-three-model-medium-20260928/grok46/tool-activity.md" TargetMode="External" /><ns0:Relationship Id="NativeLink127" Type="http://schemas.openxmlformats.org/officeDocument/2006/relationships/hyperlink" Target="file:///Users/aryankeshri/conductor/workspaces/research-and-data/jerusalem-v1/.artifacts/zafran-three-model-medium-20260928/grok46/review/audit.json" TargetMode="External" /><ns0:Relationship Id="NativeLink128" Type="http://schemas.openxmlformats.org/officeDocument/2006/relationships/hyperlink" Target="file:///Users/aryankeshri/conductor/workspaces/research-and-data/jerusalem-v1/.artifacts/zafran-three-model-medium-20260928/grok46/review/arv2_research_job.json" TargetMode="External" /><ns0:Relationship Id="NativeLink129" Type="http://schemas.openxmlformats.org/officeDocument/2006/relationships/hyperlink" Target="file:///Users/aryankeshri/conductor/workspaces/research-and-data/jerusalem-v1/.artifacts/zafran-three-model-medium-20260928/grok46/review/provider_call_ledger.json" TargetMode="External" /><ns0:Relationship Id="NativeLink130" Type="http://schemas.openxmlformats.org/officeDocument/2006/relationships/hyperlink" Target="file:///Users/aryankeshri/conductor/workspaces/research-and-data/jerusalem-v1/.artifacts/zafran-three-model-medium-20260928/grok46/review/arv2_narrative_reconciliation.json" TargetMode="External" /><ns0:Relationship Id="NativeLink131" Type="http://schemas.openxmlformats.org/officeDocument/2006/relationships/hyperlink" Target="file:///Users/aryankeshri/conductor/workspaces/research-and-data/jerusalem-v1/.artifacts/zafran-three-model-medium-20260928/grok46/timing.json" TargetMode="External" /><ns0:Relationship Id="NativeLink132" Type="http://schemas.openxmlformats.org/officeDocument/2006/relationships/hyperlink" Target="file:///Users/aryankeshri/conductor/workspaces/research-and-data/jerusalem-v1/.artifacts/zafran-three-model-medium-20260928/grok46/trace-verification.json" TargetMode="External" /><ns0:Relationship Id="NativeLink133" Type="http://schemas.openxmlformats.org/officeDocument/2006/relationships/hyperlink" Target="file:///Users/aryankeshri/conductor/workspaces/research-and-data/jerusalem-v1/.artifacts/zafran-three-model-medium-20260928/grok46/skill-read-evidence.json" TargetMode="External" /><ns0:Relationship Id="NativeLink134" Type="http://schemas.openxmlformats.org/officeDocument/2006/relationships/hyperlink" Target="https://us.cloud.langfuse.com/project/cmu2j8vra0137ad0clp5vylx2/traces/015093669e64fde931241f05264fe60a" TargetMode="External" /><ns0:Relationship Id="NativeLink135" Type="http://schemas.openxmlformats.org/officeDocument/2006/relationships/hyperlink" Target="https://us.cloud.langfuse.com/project/cmu2j8vra0137ad0clp5vylx2/traces/290f554826fcc0c26b41fa5069c958fa" TargetMode="External" /><ns0:Relationship Id="NativeLink136" Type="http://schemas.openxmlformats.org/officeDocument/2006/relationships/hyperlink" Target="https://us.cloud.langfuse.com/project/cmu2j8vra0137ad0clp5vylx2/traces/4f46c67e7b578484ecb051982de67bf7" TargetMode="External" /><ns0:Relationship Id="NativeLink137" Type="http://schemas.openxmlformats.org/officeDocument/2006/relationships/hyperlink" Target="https://us.cloud.langfuse.com/project/cmu2j8vra0137ad0clp5vylx2/traces/cc14f19bb38c4dc8231497ed7ab55bef" TargetMode="External" /><ns0:Relationship Id="NativeLink138" Type="http://schemas.openxmlformats.org/officeDocument/2006/relationships/hyperlink" Target="file:///Users/aryankeshri/conductor/workspaces/research-and-data/jerusalem-v1/.artifacts/research-model-evaluation-20260928/FAILURES-ZAFRAN.md" TargetMode="External" /><ns0:Relationship Id="NativeLink139" Type="http://schemas.openxmlformats.org/officeDocument/2006/relationships/hyperlink" Target="file:///Users/aryankeshri/conductor/workspaces/research-and-data/jerusalem-v1/.artifacts/zafran-three-model-medium-20260928/grok47/review/59d4870e-2207-56ca-a50b-e76ab86f6a53/dossier.json" TargetMode="External" /><ns0:Relationship Id="NativeLink140" Type="http://schemas.openxmlformats.org/officeDocument/2006/relationships/hyperlink" Target="file:///Users/aryankeshri/conductor/workspaces/research-and-data/jerusalem-v1/.artifacts/zafran-three-model-medium-20260928/grok47/review/59d4870e-2207-56ca-a50b-e76ab86f6a53/dossier.md" TargetMode="External" /><ns0:Relationship Id="NativeLink141" Type="http://schemas.openxmlformats.org/officeDocument/2006/relationships/hyperlink" Target="https://us.cloud.langfuse.com/project/cmu2j8vra0137ad0clp5vylx2/traces/5ea4fb0ebeb9f545fc61f5c0bf534a3c" TargetMode="External" /><ns0:Relationship Id="NativeLink142" Type="http://schemas.openxmlformats.org/officeDocument/2006/relationships/hyperlink" Target="file:///Users/aryankeshri/conductor/workspaces/research-and-data/jerusalem-v1/.artifacts/zafran-three-model-medium-20260928/grok47/REPORT.md" TargetMode="External" /><ns0:Relationship Id="NativeLink143" Type="http://schemas.openxmlformats.org/officeDocument/2006/relationships/hyperlink" Target="file:///Users/aryankeshri/conductor/workspaces/research-and-data/jerusalem-v1/.artifacts/zafran-three-model-medium-20260928/grok47/all-raw/manifest.json" TargetMode="External" /><ns0:Relationship Id="NativeLink144" Type="http://schemas.openxmlformats.org/officeDocument/2006/relationships/hyperlink" Target="file:///Users/aryankeshri/conductor/workspaces/research-and-data/jerusalem-v1/.artifacts/research-model-evaluation-20260928/grok47-model-calls.csv" TargetMode="External" /><ns0:Relationship Id="NativeLink145" Type="http://schemas.openxmlformats.org/officeDocument/2006/relationships/hyperlink" Target="file:///Users/aryankeshri/conductor/workspaces/research-and-data/jerusalem-v1/.artifacts/zafran-three-model-medium-20260928/grok47/tool-activity.md" TargetMode="External" /><ns0:Relationship Id="NativeLink146" Type="http://schemas.openxmlformats.org/officeDocument/2006/relationships/hyperlink" Target="file:///Users/aryankeshri/conductor/workspaces/research-and-data/jerusalem-v1/.artifacts/zafran-three-model-medium-20260928/grok47/review/audit.json" TargetMode="External" /><ns0:Relationship Id="NativeLink147" Type="http://schemas.openxmlformats.org/officeDocument/2006/relationships/hyperlink" Target="file:///Users/aryankeshri/conductor/workspaces/research-and-data/jerusalem-v1/.artifacts/zafran-three-model-medium-20260928/grok47/review/arv2_research_job.json" TargetMode="External" /><ns0:Relationship Id="NativeLink148" Type="http://schemas.openxmlformats.org/officeDocument/2006/relationships/hyperlink" Target="file:///Users/aryankeshri/conductor/workspaces/research-and-data/jerusalem-v1/.artifacts/zafran-three-model-medium-20260928/grok47/review/provider_call_ledger.json" TargetMode="External" /><ns0:Relationship Id="NativeLink149" Type="http://schemas.openxmlformats.org/officeDocument/2006/relationships/hyperlink" Target="file:///Users/aryankeshri/conductor/workspaces/research-and-data/jerusalem-v1/.artifacts/zafran-three-model-medium-20260928/grok47/review/arv2_narrative_reconciliation.json" TargetMode="External" /><ns0:Relationship Id="NativeLink150" Type="http://schemas.openxmlformats.org/officeDocument/2006/relationships/hyperlink" Target="file:///Users/aryankeshri/conductor/workspaces/research-and-data/jerusalem-v1/.artifacts/zafran-three-model-medium-20260928/grok47/timing.json" TargetMode="External" /><ns0:Relationship Id="NativeLink151" Type="http://schemas.openxmlformats.org/officeDocument/2006/relationships/hyperlink" Target="file:///Users/aryankeshri/conductor/workspaces/research-and-data/jerusalem-v1/.artifacts/zafran-three-model-medium-20260928/grok47/trace-verification.json" TargetMode="External" /><ns0:Relationship Id="NativeLink152" Type="http://schemas.openxmlformats.org/officeDocument/2006/relationships/hyperlink" Target="file:///Users/aryankeshri/conductor/workspaces/research-and-data/jerusalem-v1/.artifacts/zafran-three-model-medium-20260928/grok47/skill-read-evidence.json" TargetMode="External" /><ns0:Relationship Id="NativeLink153" Type="http://schemas.openxmlformats.org/officeDocument/2006/relationships/hyperlink" Target="https://us.cloud.langfuse.com/project/cmu2j8vra0137ad0clp5vylx2/traces/5ea4fb0ebeb9f545fc61f5c0bf534a3c" TargetMode="External" /><ns0:Relationship Id="NativeLink154" Type="http://schemas.openxmlformats.org/officeDocument/2006/relationships/hyperlink" Target="file:///Users/aryankeshri/conductor/workspaces/research-and-data/jerusalem-v1/.artifacts/research-model-evaluation-20260928/FAILURES-ZAFRAN.md" TargetMode="External" /><ns0:Relationship Id="NativeLink155" Type="http://schemas.openxmlformats.org/officeDocument/2006/relationships/hyperlink" Target="https://us.cloud.langfuse.com/project/cmu2j8vra0137ad0clp5vylx2/traces/5f56c7dcbedbc8e6a34a6da394bed0e5" TargetMode="External" /><ns0:Relationship Id="NativeLink156" Type="http://schemas.openxmlformats.org/officeDocument/2006/relationships/hyperlink" Target="file:///Users/aryankeshri/conductor/workspaces/research-and-data/jerusalem-v1/.artifacts/zafran-three-model-medium-20260928/glm53/REPORT.md" TargetMode="External" /><ns0:Relationship Id="NativeLink157" Type="http://schemas.openxmlformats.org/officeDocument/2006/relationships/hyperlink" Target="file:///Users/aryankeshri/conductor/workspaces/research-and-data/jerusalem-v1/.artifacts/zafran-three-model-medium-20260928/glm53/account-exa-dossier.md" TargetMode="External" /><ns0:Relationship Id="NativeLink158" Type="http://schemas.openxmlformats.org/officeDocument/2006/relationships/hyperlink" Target="file:///Users/aryankeshri/conductor/workspaces/research-and-data/jerusalem-v1/.artifacts/zafran-three-model-medium-20260928/glm53/all-raw/manifest.json" TargetMode="External" /><ns0:Relationship Id="NativeLink159" Type="http://schemas.openxmlformats.org/officeDocument/2006/relationships/hyperlink" Target="file:///Users/aryankeshri/conductor/workspaces/research-and-data/jerusalem-v1/.artifacts/research-model-evaluation-20260928/glm53-model-calls.csv" TargetMode="External" /><ns0:Relationship Id="NativeLink160" Type="http://schemas.openxmlformats.org/officeDocument/2006/relationships/hyperlink" Target="file:///Users/aryankeshri/conductor/workspaces/research-and-data/jerusalem-v1/.artifacts/zafran-three-model-medium-20260928/glm53/activity-latest.json" TargetMode="External" /><ns0:Relationship Id="NativeLink161" Type="http://schemas.openxmlformats.org/officeDocument/2006/relationships/hyperlink" Target="file:///Users/aryankeshri/conductor/workspaces/research-and-data/jerusalem-v1/.artifacts/zafran-three-model-medium-20260928/glm53/review/audit.json" TargetMode="External" /><ns0:Relationship Id="NativeLink162" Type="http://schemas.openxmlformats.org/officeDocument/2006/relationships/hyperlink" Target="file:///Users/aryankeshri/conductor/workspaces/research-and-data/jerusalem-v1/.artifacts/zafran-three-model-medium-20260928/glm53/review/arv2_research_job.json" TargetMode="External" /><ns0:Relationship Id="NativeLink163" Type="http://schemas.openxmlformats.org/officeDocument/2006/relationships/hyperlink" Target="file:///Users/aryankeshri/conductor/workspaces/research-and-data/jerusalem-v1/.artifacts/zafran-three-model-medium-20260928/glm53/review/provider_call_ledger.json" TargetMode="External" /><ns0:Relationship Id="NativeLink164" Type="http://schemas.openxmlformats.org/officeDocument/2006/relationships/hyperlink" Target="file:///Users/aryankeshri/conductor/workspaces/research-and-data/jerusalem-v1/.artifacts/zafran-three-model-medium-20260928/glm53/review/arv2_narrative_reconciliation.json" TargetMode="External" /><ns0:Relationship Id="NativeLink165" Type="http://schemas.openxmlformats.org/officeDocument/2006/relationships/hyperlink" Target="file:///Users/aryankeshri/conductor/workspaces/research-and-data/jerusalem-v1/.artifacts/zafran-three-model-medium-20260928/glm53/timing.json" TargetMode="External" /><ns0:Relationship Id="NativeLink166" Type="http://schemas.openxmlformats.org/officeDocument/2006/relationships/hyperlink" Target="file:///Users/aryankeshri/conductor/workspaces/research-and-data/jerusalem-v1/.artifacts/zafran-three-model-medium-20260928/glm53/trace-verification.json" TargetMode="External" /><ns0:Relationship Id="NativeLink167" Type="http://schemas.openxmlformats.org/officeDocument/2006/relationships/hyperlink" Target="file:///Users/aryankeshri/conductor/workspaces/research-and-data/jerusalem-v1/.artifacts/zafran-three-model-medium-20260928/glm53/skill-read-evidence.json" TargetMode="External" /><ns0:Relationship Id="NativeLink168" Type="http://schemas.openxmlformats.org/officeDocument/2006/relationships/hyperlink" Target="https://us.cloud.langfuse.com/project/cmu2j8vra0137ad0clp5vylx2/traces/5f56c7dcbedbc8e6a34a6da394bed0e5" TargetMode="External" /><ns0:Relationship Id="NativeLink169" Type="http://schemas.openxmlformats.org/officeDocument/2006/relationships/hyperlink" Target="file:///Users/aryankeshri/conductor/workspaces/research-and-data/jerusalem-v1/.artifacts/research-model-evaluation-20260928/FAILURES-ZAFRAN.md" TargetMode="External" /><ns0:Relationship Id="NativeLink170" Type="http://schemas.openxmlformats.org/officeDocument/2006/relationships/hyperlink" Target="https://us.cloud.langfuse.com/project/cmu2j8vra0137ad0clp5vylx2/traces/01059ef3685b2b8d3097412a482b762b" TargetMode="External" /><ns0:Relationship Id="NativeLink171" Type="http://schemas.openxmlformats.org/officeDocument/2006/relationships/hyperlink" Target="file:///Users/aryankeshri/conductor/workspaces/research-and-data/jerusalem-v1/.artifacts/zafran-three-model-medium-20260928/glm53-untouched-02/REPORT.md" TargetMode="External" /><ns0:Relationship Id="NativeLink172" Type="http://schemas.openxmlformats.org/officeDocument/2006/relationships/hyperlink" Target="file:///Users/aryankeshri/conductor/workspaces/research-and-data/jerusalem-v1/.artifacts/zafran-three-model-medium-20260928/glm53-untouched-02/account-exa-dossier.md" TargetMode="External" /><ns0:Relationship Id="NativeLink173" Type="http://schemas.openxmlformats.org/officeDocument/2006/relationships/hyperlink" Target="file:///Users/aryankeshri/conductor/workspaces/research-and-data/jerusalem-v1/.artifacts/zafran-three-model-medium-20260928/glm53-untouched-02/all-raw/manifest.json" TargetMode="External" /><ns0:Relationship Id="NativeLink174" Type="http://schemas.openxmlformats.org/officeDocument/2006/relationships/hyperlink" Target="file:///Users/aryankeshri/conductor/workspaces/research-and-data/jerusalem-v1/.artifacts/research-model-evaluation-20260928/glm53-untouched-02-model-calls.csv" TargetMode="External" /><ns0:Relationship Id="NativeLink175" Type="http://schemas.openxmlformats.org/officeDocument/2006/relationships/hyperlink" Target="file:///Users/aryankeshri/conductor/workspaces/research-and-data/jerusalem-v1/.artifacts/zafran-three-model-medium-20260928/glm53-untouched-02/activity-latest.json" TargetMode="External" /><ns0:Relationship Id="NativeLink176" Type="http://schemas.openxmlformats.org/officeDocument/2006/relationships/hyperlink" Target="file:///Users/aryankeshri/conductor/workspaces/research-and-data/jerusalem-v1/.artifacts/zafran-three-model-medium-20260928/glm53-untouched-02/review/audit.json" TargetMode="External" /><ns0:Relationship Id="NativeLink177" Type="http://schemas.openxmlformats.org/officeDocument/2006/relationships/hyperlink" Target="file:///Users/aryankeshri/conductor/workspaces/research-and-data/jerusalem-v1/.artifacts/zafran-three-model-medium-20260928/glm53-untouched-02/review/arv2_research_job.json" TargetMode="External" /><ns0:Relationship Id="NativeLink178" Type="http://schemas.openxmlformats.org/officeDocument/2006/relationships/hyperlink" Target="file:///Users/aryankeshri/conductor/workspaces/research-and-data/jerusalem-v1/.artifacts/zafran-three-model-medium-20260928/glm53-untouched-02/review/provider_call_ledger.json" TargetMode="External" /><ns0:Relationship Id="NativeLink179" Type="http://schemas.openxmlformats.org/officeDocument/2006/relationships/hyperlink" Target="file:///Users/aryankeshri/conductor/workspaces/research-and-data/jerusalem-v1/.artifacts/zafran-three-model-medium-20260928/glm53-untouched-02/review/arv2_narrative_reconciliation.json" TargetMode="External" /><ns0:Relationship Id="NativeLink180" Type="http://schemas.openxmlformats.org/officeDocument/2006/relationships/hyperlink" Target="file:///Users/aryankeshri/conductor/workspaces/research-and-data/jerusalem-v1/.artifacts/zafran-three-model-medium-20260928/glm53-untouched-02/timing.json" TargetMode="External" /><ns0:Relationship Id="NativeLink181" Type="http://schemas.openxmlformats.org/officeDocument/2006/relationships/hyperlink" Target="file:///Users/aryankeshri/conductor/workspaces/research-and-data/jerusalem-v1/.artifacts/zafran-three-model-medium-20260928/glm53-untouched-02/trace-verification.json" TargetMode="External" /><ns0:Relationship Id="NativeLink182" Type="http://schemas.openxmlformats.org/officeDocument/2006/relationships/hyperlink" Target="file:///Users/aryankeshri/conductor/workspaces/research-and-data/jerusalem-v1/.artifacts/zafran-three-model-medium-20260928/glm53-untouched-02/skill-read-evidence.json" TargetMode="External" /><ns0:Relationship Id="NativeLink183" Type="http://schemas.openxmlformats.org/officeDocument/2006/relationships/hyperlink" Target="https://us.cloud.langfuse.com/project/cmu2j8vra0137ad0clp5vylx2/traces/01059ef3685b2b8d3097412a482b762b" TargetMode="External" /><ns0:Relationship Id="NativeLink184" Type="http://schemas.openxmlformats.org/officeDocument/2006/relationships/hyperlink" Target="file:///Users/aryankeshri/conductor/workspaces/research-and-data/jerusalem-v1/.artifacts/research-model-evaluation-20260928/FAILURES-ZAFRAN.md" TargetMode="External" /><ns0:Relationship Id="NativeLink185" Type="http://schemas.openxmlformats.org/officeDocument/2006/relationships/hyperlink" Target="https://us.cloud.langfuse.com/project/cmu2j8vra0137ad0clp5vylx2/traces/bcdc2cb74109684e8563960111250742" TargetMode="External" /><ns0:Relationship Id="NativeLink186" Type="http://schemas.openxmlformats.org/officeDocument/2006/relationships/hyperlink" Target="file:///Users/aryankeshri/conductor/workspaces/research-and-data/jerusalem-v1/.artifacts/zafran-three-model-medium-20260928/deepseek4pro-high/review/436cb01b-602f-52fd-a83e-e1f08f8708fe/dossier.json" TargetMode="External" /><ns0:Relationship Id="NativeLink187" Type="http://schemas.openxmlformats.org/officeDocument/2006/relationships/hyperlink" Target="file:///Users/aryankeshri/conductor/workspaces/research-and-data/jerusalem-v1/.artifacts/zafran-three-model-medium-20260928/deepseek4pro-high/review/436cb01b-602f-52fd-a83e-e1f08f8708fe/dossier.md" TargetMode="External" /><ns0:Relationship Id="NativeLink188" Type="http://schemas.openxmlformats.org/officeDocument/2006/relationships/hyperlink" Target="https://us.cloud.langfuse.com/project/cmu2j8vra0137ad0clp5vylx2/traces/889dc8bf365e27725d163fd0668a34e7" TargetMode="External" /><ns0:Relationship Id="NativeLink189" Type="http://schemas.openxmlformats.org/officeDocument/2006/relationships/hyperlink" Target="file:///Users/aryankeshri/conductor/workspaces/research-and-data/jerusalem-v1/.artifacts/zafran-three-model-medium-20260928/deepseek4pro-high/review/59d4870e-2207-56ca-a50b-e76ab86f6a53/dossier.json" TargetMode="External" /><ns0:Relationship Id="NativeLink190" Type="http://schemas.openxmlformats.org/officeDocument/2006/relationships/hyperlink" Target="file:///Users/aryankeshri/conductor/workspaces/research-and-data/jerusalem-v1/.artifacts/zafran-three-model-medium-20260928/deepseek4pro-high/review/59d4870e-2207-56ca-a50b-e76ab86f6a53/dossier.md" TargetMode="External" /><ns0:Relationship Id="NativeLink191" Type="http://schemas.openxmlformats.org/officeDocument/2006/relationships/hyperlink" Target="https://us.cloud.langfuse.com/project/cmu2j8vra0137ad0clp5vylx2/traces/6b4da01eb07ef9a8ec57c0f15b288de0" TargetMode="External" /><ns0:Relationship Id="NativeLink192" Type="http://schemas.openxmlformats.org/officeDocument/2006/relationships/hyperlink" Target="file:///Users/aryankeshri/conductor/workspaces/research-and-data/jerusalem-v1/.artifacts/zafran-three-model-medium-20260928/deepseek4pro-high/REPORT.md" TargetMode="External" /><ns0:Relationship Id="NativeLink193" Type="http://schemas.openxmlformats.org/officeDocument/2006/relationships/hyperlink" Target="file:///Users/aryankeshri/conductor/workspaces/research-and-data/jerusalem-v1/.artifacts/zafran-three-model-medium-20260928/deepseek4pro-high/account-initial/dossier.json" TargetMode="External" /><ns0:Relationship Id="NativeLink194" Type="http://schemas.openxmlformats.org/officeDocument/2006/relationships/hyperlink" Target="file:///Users/aryankeshri/conductor/workspaces/research-and-data/jerusalem-v1/.artifacts/zafran-three-model-medium-20260928/deepseek4pro-high/account-initial/dossier.md" TargetMode="External" /><ns0:Relationship Id="NativeLink195" Type="http://schemas.openxmlformats.org/officeDocument/2006/relationships/hyperlink" Target="file:///Users/aryankeshri/conductor/workspaces/research-and-data/jerusalem-v1/.artifacts/zafran-three-model-medium-20260928/deepseek4pro-high/all-raw/manifest.json" TargetMode="External" /><ns0:Relationship Id="NativeLink196" Type="http://schemas.openxmlformats.org/officeDocument/2006/relationships/hyperlink" Target="file:///Users/aryankeshri/conductor/workspaces/research-and-data/jerusalem-v1/.artifacts/research-model-evaluation-20260928/deepseek4pro-high-model-calls.csv" TargetMode="External" /><ns0:Relationship Id="NativeLink197" Type="http://schemas.openxmlformats.org/officeDocument/2006/relationships/hyperlink" Target="file:///Users/aryankeshri/conductor/workspaces/research-and-data/jerusalem-v1/.artifacts/zafran-three-model-medium-20260928/deepseek4pro-high/final-tool-activity.md" TargetMode="External" /><ns0:Relationship Id="NativeLink198" Type="http://schemas.openxmlformats.org/officeDocument/2006/relationships/hyperlink" Target="file:///Users/aryankeshri/conductor/workspaces/research-and-data/jerusalem-v1/.artifacts/zafran-three-model-medium-20260928/deepseek4pro-high/review/audit.json" TargetMode="External" /><ns0:Relationship Id="NativeLink199" Type="http://schemas.openxmlformats.org/officeDocument/2006/relationships/hyperlink" Target="file:///Users/aryankeshri/conductor/workspaces/research-and-data/jerusalem-v1/.artifacts/zafran-three-model-medium-20260928/deepseek4pro-high/review/arv2_research_job.json" TargetMode="External" /><ns0:Relationship Id="NativeLink200" Type="http://schemas.openxmlformats.org/officeDocument/2006/relationships/hyperlink" Target="file:///Users/aryankeshri/conductor/workspaces/research-and-data/jerusalem-v1/.artifacts/zafran-three-model-medium-20260928/deepseek4pro-high/review/provider_call_ledger.json" TargetMode="External" /><ns0:Relationship Id="NativeLink201" Type="http://schemas.openxmlformats.org/officeDocument/2006/relationships/hyperlink" Target="file:///Users/aryankeshri/conductor/workspaces/research-and-data/jerusalem-v1/.artifacts/zafran-three-model-medium-20260928/deepseek4pro-high/review/arv2_narrative_reconciliation.json" TargetMode="External" /><ns0:Relationship Id="NativeLink202" Type="http://schemas.openxmlformats.org/officeDocument/2006/relationships/hyperlink" Target="file:///Users/aryankeshri/conductor/workspaces/research-and-data/jerusalem-v1/.artifacts/zafran-three-model-medium-20260928/deepseek4pro-high/timing.json" TargetMode="External" /><ns0:Relationship Id="NativeLink203" Type="http://schemas.openxmlformats.org/officeDocument/2006/relationships/hyperlink" Target="file:///Users/aryankeshri/conductor/workspaces/research-and-data/jerusalem-v1/.artifacts/zafran-three-model-medium-20260928/deepseek4pro-high/trace-verification.json" TargetMode="External" /><ns0:Relationship Id="NativeLink204" Type="http://schemas.openxmlformats.org/officeDocument/2006/relationships/hyperlink" Target="file:///Users/aryankeshri/conductor/workspaces/research-and-data/jerusalem-v1/.artifacts/zafran-three-model-medium-20260928/deepseek4pro-high/skill-read-evidence.json" TargetMode="External" /><ns0:Relationship Id="NativeLink205" Type="http://schemas.openxmlformats.org/officeDocument/2006/relationships/hyperlink" Target="https://us.cloud.langfuse.com/project/cmu2j8vra0137ad0clp5vylx2/traces/6b4da01eb07ef9a8ec57c0f15b288de0" TargetMode="External" /><ns0:Relationship Id="NativeLink206" Type="http://schemas.openxmlformats.org/officeDocument/2006/relationships/hyperlink" Target="https://us.cloud.langfuse.com/project/cmu2j8vra0137ad0clp5vylx2/traces/889dc8bf365e27725d163fd0668a34e7" TargetMode="External" /><ns0:Relationship Id="NativeLink207" Type="http://schemas.openxmlformats.org/officeDocument/2006/relationships/hyperlink" Target="https://us.cloud.langfuse.com/project/cmu2j8vra0137ad0clp5vylx2/traces/bcdc2cb74109684e8563960111250742" TargetMode="External" /><ns0:Relationship Id="NativeLink208" Type="http://schemas.openxmlformats.org/officeDocument/2006/relationships/hyperlink" Target="file:///Users/aryankeshri/conductor/workspaces/research-and-data/jerusalem-v1/.artifacts/research-model-evaluation-20260928/FAILURES-ZAFRAN.md" TargetMode="External" /><ns0:Relationship Id="NativeLink209" Type="http://schemas.openxmlformats.org/officeDocument/2006/relationships/hyperlink" Target="file:///Users/aryankeshri/conductor/workspaces/research-and-data/jerusalem-v1/.artifacts/zafran-three-model-medium-20260928/muse-max/review/59d4870e-2207-56ca-a50b-e76ab86f6a53/dossier.json" TargetMode="External" /><ns0:Relationship Id="NativeLink210" Type="http://schemas.openxmlformats.org/officeDocument/2006/relationships/hyperlink" Target="file:///Users/aryankeshri/conductor/workspaces/research-and-data/jerusalem-v1/.artifacts/zafran-three-model-medium-20260928/muse-max/review/59d4870e-2207-56ca-a50b-e76ab86f6a53/dossier.md" TargetMode="External" /><ns0:Relationship Id="NativeLink211" Type="http://schemas.openxmlformats.org/officeDocument/2006/relationships/hyperlink" Target="file:///Users/aryankeshri/conductor/workspaces/research-and-data/jerusalem-v1/.artifacts/zafran-three-model-medium-20260928/muse-max/account/page.md" TargetMode="External" /><ns0:Relationship Id="NativeLink212" Type="http://schemas.openxmlformats.org/officeDocument/2006/relationships/hyperlink" Target="file:///Users/aryankeshri/conductor/workspaces/research-and-data/jerusalem-v1/.artifacts/zafran-three-model-medium-20260928/muse-max/account/display-blocks.json" TargetMode="External" /><ns0:Relationship Id="NativeLink213" Type="http://schemas.openxmlformats.org/officeDocument/2006/relationships/hyperlink" Target="https://us.cloud.langfuse.com/project/cmu2j8vra0137ad0clp5vylx2/traces/2b1c6302815f8d74a85af0d774c1f599" TargetMode="External" /><ns0:Relationship Id="NativeLink214" Type="http://schemas.openxmlformats.org/officeDocument/2006/relationships/hyperlink" Target="file:///Users/aryankeshri/conductor/workspaces/research-and-data/jerusalem-v1/.artifacts/zafran-three-model-medium-20260928/muse-max/review/41ba4d68-d1da-57fd-9163-a0ec041a44bd/dossier.json" TargetMode="External" /><ns0:Relationship Id="NativeLink215" Type="http://schemas.openxmlformats.org/officeDocument/2006/relationships/hyperlink" Target="file:///Users/aryankeshri/conductor/workspaces/research-and-data/jerusalem-v1/.artifacts/zafran-three-model-medium-20260928/muse-max/review/41ba4d68-d1da-57fd-9163-a0ec041a44bd/dossier.md" TargetMode="External" /><ns0:Relationship Id="NativeLink216" Type="http://schemas.openxmlformats.org/officeDocument/2006/relationships/hyperlink" Target="https://us.cloud.langfuse.com/project/cmu2j8vra0137ad0clp5vylx2/traces/61b9dad798d5f67e468f2d9ef5d840c6" TargetMode="External" /><ns0:Relationship Id="NativeLink217" Type="http://schemas.openxmlformats.org/officeDocument/2006/relationships/hyperlink" Target="file:///Users/aryankeshri/conductor/workspaces/research-and-data/jerusalem-v1/.artifacts/zafran-three-model-medium-20260928/muse-max/review/92047fb7-01a5-5611-802e-c886da87eb6a/dossier.json" TargetMode="External" /><ns0:Relationship Id="NativeLink218" Type="http://schemas.openxmlformats.org/officeDocument/2006/relationships/hyperlink" Target="file:///Users/aryankeshri/conductor/workspaces/research-and-data/jerusalem-v1/.artifacts/zafran-three-model-medium-20260928/muse-max/review/92047fb7-01a5-5611-802e-c886da87eb6a/dossier.md" TargetMode="External" /><ns0:Relationship Id="NativeLink219" Type="http://schemas.openxmlformats.org/officeDocument/2006/relationships/hyperlink" Target="file:///Users/aryankeshri/conductor/workspaces/research-and-data/jerusalem-v1/.artifacts/zafran-three-model-medium-20260928/muse-max/review/92047fb7-01a5-5611-802e-c886da87eb6a/narrative-payload.json" TargetMode="External" /><ns0:Relationship Id="NativeLink220" Type="http://schemas.openxmlformats.org/officeDocument/2006/relationships/hyperlink" Target="https://us.cloud.langfuse.com/project/cmu2j8vra0137ad0clp5vylx2/traces/a7b5aeb0b9b65ea305b4700b1981fe47" TargetMode="External" /><ns0:Relationship Id="NativeLink221" Type="http://schemas.openxmlformats.org/officeDocument/2006/relationships/hyperlink" Target="file:///Users/aryankeshri/conductor/workspaces/research-and-data/jerusalem-v1/.artifacts/zafran-three-model-medium-20260928/muse-max/REPORT.md" TargetMode="External" /><ns0:Relationship Id="NativeLink222" Type="http://schemas.openxmlformats.org/officeDocument/2006/relationships/hyperlink" Target="file:///Users/aryankeshri/conductor/workspaces/research-and-data/jerusalem-v1/.artifacts/zafran-three-model-medium-20260928/muse-max/account-initial/dossier.json" TargetMode="External" /><ns0:Relationship Id="NativeLink223" Type="http://schemas.openxmlformats.org/officeDocument/2006/relationships/hyperlink" Target="file:///Users/aryankeshri/conductor/workspaces/research-and-data/jerusalem-v1/.artifacts/zafran-three-model-medium-20260928/muse-max/account-initial/dossier.md" TargetMode="External" /><ns0:Relationship Id="NativeLink224" Type="http://schemas.openxmlformats.org/officeDocument/2006/relationships/hyperlink" Target="file:///Users/aryankeshri/conductor/workspaces/research-and-data/jerusalem-v1/.artifacts/zafran-three-model-medium-20260928/muse-max/account-initial/page.md" TargetMode="External" /><ns0:Relationship Id="NativeLink225" Type="http://schemas.openxmlformats.org/officeDocument/2006/relationships/hyperlink" Target="file:///Users/aryankeshri/conductor/workspaces/research-and-data/jerusalem-v1/.artifacts/zafran-three-model-medium-20260928/muse-max/account/page.md" TargetMode="External" /><ns0:Relationship Id="NativeLink226" Type="http://schemas.openxmlformats.org/officeDocument/2006/relationships/hyperlink" Target="file:///Users/aryankeshri/conductor/workspaces/research-and-data/jerusalem-v1/.artifacts/zafran-three-model-medium-20260928/muse-max/all-raw/manifest.json" TargetMode="External" /><ns0:Relationship Id="NativeLink227" Type="http://schemas.openxmlformats.org/officeDocument/2006/relationships/hyperlink" Target="file:///Users/aryankeshri/conductor/workspaces/research-and-data/jerusalem-v1/.artifacts/research-model-evaluation-20260928/muse-max-model-calls.csv" TargetMode="External" /><ns0:Relationship Id="NativeLink228" Type="http://schemas.openxmlformats.org/officeDocument/2006/relationships/hyperlink" Target="file:///Users/aryankeshri/conductor/workspaces/research-and-data/jerusalem-v1/.artifacts/zafran-three-model-medium-20260928/muse-max/tool-activity.md" TargetMode="External" /><ns0:Relationship Id="NativeLink229" Type="http://schemas.openxmlformats.org/officeDocument/2006/relationships/hyperlink" Target="file:///Users/aryankeshri/conductor/workspaces/research-and-data/jerusalem-v1/.artifacts/zafran-three-model-medium-20260928/muse-max/review/audit.json" TargetMode="External" /><ns0:Relationship Id="NativeLink230" Type="http://schemas.openxmlformats.org/officeDocument/2006/relationships/hyperlink" Target="file:///Users/aryankeshri/conductor/workspaces/research-and-data/jerusalem-v1/.artifacts/zafran-three-model-medium-20260928/muse-max/review/arv2_research_job.json" TargetMode="External" /><ns0:Relationship Id="NativeLink231" Type="http://schemas.openxmlformats.org/officeDocument/2006/relationships/hyperlink" Target="file:///Users/aryankeshri/conductor/workspaces/research-and-data/jerusalem-v1/.artifacts/zafran-three-model-medium-20260928/muse-max/review/provider_call_ledger.json" TargetMode="External" /><ns0:Relationship Id="NativeLink232" Type="http://schemas.openxmlformats.org/officeDocument/2006/relationships/hyperlink" Target="file:///Users/aryankeshri/conductor/workspaces/research-and-data/jerusalem-v1/.artifacts/zafran-three-model-medium-20260928/muse-max/review/arv2_narrative_reconciliation.json" TargetMode="External" /><ns0:Relationship Id="NativeLink233" Type="http://schemas.openxmlformats.org/officeDocument/2006/relationships/hyperlink" Target="file:///Users/aryankeshri/conductor/workspaces/research-and-data/jerusalem-v1/.artifacts/zafran-three-model-medium-20260928/muse-max/timing.json" TargetMode="External" /><ns0:Relationship Id="NativeLink234" Type="http://schemas.openxmlformats.org/officeDocument/2006/relationships/hyperlink" Target="file:///Users/aryankeshri/conductor/workspaces/research-and-data/jerusalem-v1/.artifacts/zafran-three-model-medium-20260928/muse-max/trace-verification.json" TargetMode="External" /><ns0:Relationship Id="NativeLink235" Type="http://schemas.openxmlformats.org/officeDocument/2006/relationships/hyperlink" Target="file:///Users/aryankeshri/conductor/workspaces/research-and-data/jerusalem-v1/.artifacts/zafran-three-model-medium-20260928/muse-max/skill-read-evidence.json" TargetMode="External" /><ns0:Relationship Id="NativeLink236" Type="http://schemas.openxmlformats.org/officeDocument/2006/relationships/hyperlink" Target="https://us.cloud.langfuse.com/project/cmu2j8vra0137ad0clp5vylx2/traces/2b1c6302815f8d74a85af0d774c1f599" TargetMode="External" /><ns0:Relationship Id="NativeLink237" Type="http://schemas.openxmlformats.org/officeDocument/2006/relationships/hyperlink" Target="https://us.cloud.langfuse.com/project/cmu2j8vra0137ad0clp5vylx2/traces/61b9dad798d5f67e468f2d9ef5d840c6" TargetMode="External" /><ns0:Relationship Id="NativeLink238" Type="http://schemas.openxmlformats.org/officeDocument/2006/relationships/hyperlink" Target="https://us.cloud.langfuse.com/project/cmu2j8vra0137ad0clp5vylx2/traces/a7b5aeb0b9b65ea305b4700b1981fe47" TargetMode="External" /><ns0:Relationship Id="NativeLink239" Type="http://schemas.openxmlformats.org/officeDocument/2006/relationships/hyperlink" Target="file:///Users/aryankeshri/conductor/workspaces/research-and-data/jerusalem-v1/.artifacts/research-model-evaluation-20260928/FAILURES-ZAFRAN.md" TargetMode="External" /><ns0:Relationship Id="NativeLink240" Type="http://schemas.openxmlformats.org/officeDocument/2006/relationships/hyperlink" Target="file:///Users/aryankeshri/conductor/workspaces/research-and-data/jerusalem-v1/.artifacts/arv4-insight-premier-muse-20260928-run01" TargetMode="External" /><ns0:Relationship Id="NativeLink241" Type="http://schemas.openxmlformats.org/officeDocument/2006/relationships/hyperlink" Target="file:///Users/aryankeshri/conductor/workspaces/research-and-data/jerusalem-v1/.artifacts/arv4-insight-premier-muse-20260928-run02" TargetMode="External" /><ns0:Relationship Id="NativeLink242" Type="http://schemas.openxmlformats.org/officeDocument/2006/relationships/hyperlink" Target="file:///Users/aryankeshri/conductor/workspaces/research-and-data/jerusalem-v1/.artifacts/arv4-insight-premier-muse-20260928-run03" TargetMode="External" /></ns0:Relationships>
</file>

<file path=xl/worksheets/_rels/sheet7.xml.rels>&#65279;<?xml version="1.0" encoding="utf-8"?><Relationships xmlns="http://schemas.openxmlformats.org/package/2006/relationships"><Relationship Type="http://schemas.openxmlformats.org/officeDocument/2006/relationships/table" Target="/xl/tables/table7.xml" Id="Rc48b787638c345f7" /></Relationships>
</file>

<file path=xl/worksheets/_rels/sheet8.xml.rels>&#65279;<?xml version="1.0" encoding="utf-8"?><Relationships xmlns="http://schemas.openxmlformats.org/package/2006/relationships"><Relationship Type="http://schemas.openxmlformats.org/officeDocument/2006/relationships/table" Target="/xl/tables/table8.xml" Id="R0099d23a28014fec" /></Relationships>
</file>

<file path=xl/worksheets/sheet1.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9" hidden="0" customWidth="1"/>
    <col min="2" max="2" width="26" hidden="0" customWidth="1"/>
    <col min="3" max="3" width="29" hidden="0" customWidth="1"/>
    <col min="4" max="4" width="11" hidden="0" customWidth="1"/>
    <col min="5" max="5" width="15" hidden="0" customWidth="1"/>
    <col min="6" max="6" width="16" hidden="0" customWidth="1"/>
    <col min="7" max="7" width="14" hidden="0" customWidth="1"/>
    <col min="8" max="8" width="13" hidden="0" customWidth="1"/>
    <col min="9" max="9" width="14" hidden="0" customWidth="1"/>
    <col min="10" max="10" width="31" hidden="0" customWidth="1"/>
    <col min="11" max="11" width="61" hidden="0" customWidth="1"/>
    <col min="12" max="12" width="15" hidden="0" customWidth="1"/>
  </cols>
  <sheetData>
    <row r="1" ht="38" customHeight="1">
      <c r="A1" s="5" t="str">
        <v>Research model comparison · 28 September 2026</v>
      </c>
      <c r="B1" s="5"/>
      <c r="C1" s="5"/>
      <c r="D1" s="5"/>
      <c r="E1" s="5"/>
      <c r="F1" s="5"/>
      <c r="G1" s="5"/>
      <c r="H1" s="5"/>
      <c r="I1" s="5"/>
      <c r="J1" s="5"/>
      <c r="K1" s="5"/>
      <c r="L1" s="5"/>
    </row>
    <row r="2" ht="24" customHeight="1">
      <c r="A2" s="7" t="str">
        <v>11 research attempts across two seller/account pairs. Recorded USD and AI Ark credits are separate. Research wall includes research through final job outcome; total observed also includes later reconciliation or cancellation. Overlapping jobs are not added.</v>
      </c>
      <c r="B2" s="7"/>
      <c r="C2" s="7"/>
      <c r="D2" s="7"/>
      <c r="E2" s="7"/>
      <c r="F2" s="7"/>
      <c r="G2" s="7"/>
      <c r="H2" s="7"/>
      <c r="I2" s="7"/>
      <c r="J2" s="7"/>
      <c r="K2" s="7"/>
      <c r="L2" s="7"/>
    </row>
    <row r="3" ht="24" customHeight="1">
      <c r="A3" s="7"/>
      <c r="B3" s="7"/>
      <c r="C3" s="7"/>
      <c r="D3" s="7"/>
      <c r="E3" s="7"/>
      <c r="F3" s="7"/>
      <c r="G3" s="7"/>
      <c r="H3" s="7"/>
      <c r="I3" s="7"/>
      <c r="J3" s="7"/>
      <c r="K3" s="7"/>
      <c r="L3" s="7"/>
    </row>
    <row r="4">
      <c r="A4" s="3"/>
      <c r="B4" s="3"/>
      <c r="C4" s="3"/>
      <c r="D4" s="3"/>
      <c r="E4" s="3"/>
      <c r="F4" s="3"/>
      <c r="G4" s="3"/>
      <c r="H4" s="3"/>
      <c r="I4" s="3"/>
      <c r="J4" s="3"/>
      <c r="K4" s="3"/>
      <c r="L4" s="3"/>
    </row>
    <row r="5" ht="34" customHeight="1">
      <c r="A5" s="9" t="str">
        <v>Run</v>
      </c>
      <c r="B5" s="9" t="str">
        <v>Seller / account</v>
      </c>
      <c r="C5" s="9" t="str">
        <v>Research model</v>
      </c>
      <c r="D5" s="9" t="str">
        <v>Effort</v>
      </c>
      <c r="E5" s="9" t="str">
        <v>Research wall</v>
      </c>
      <c r="F5" s="9" t="str">
        <v>Total observed</v>
      </c>
      <c r="G5" s="9" t="str">
        <v>Known USD</v>
      </c>
      <c r="H5" s="9" t="str">
        <v>AI Ark credits</v>
      </c>
      <c r="I5" s="9" t="str">
        <v>Account findings</v>
      </c>
      <c r="J5" s="9" t="str">
        <v>Person outputs</v>
      </c>
      <c r="K5" s="9" t="str">
        <v>Outcome</v>
      </c>
      <c r="L5" s="9" t="str">
        <v>Run report</v>
      </c>
    </row>
    <row r="6" ht="40" customHeight="1">
      <c r="A6" s="3" t="str">
        <v>P1</v>
      </c>
      <c r="B6" s="3" t="str">
        <v>Insight Health → Premier</v>
      </c>
      <c r="C6" s="3" t="str">
        <v>grok-4.6</v>
      </c>
      <c r="D6" s="3" t="str">
        <v>medium</v>
      </c>
      <c r="E6" s="19" t="n">
        <v>0.019417401296296297</v>
      </c>
      <c r="F6" s="19" t="n">
        <v>0.021782407407407407</v>
      </c>
      <c r="G6" s="21" t="n">
        <f>Costs!K6</f>
        <v>12.513690000000002</v>
      </c>
      <c r="H6" s="13" t="n">
        <v>3.1</v>
      </c>
      <c r="I6" s="3" t="n">
        <v>52</v>
      </c>
      <c r="J6" s="3" t="str">
        <v>Todd Greer: 37 + page</v>
      </c>
      <c r="K6" s="3" t="str">
        <v>Both dossiers and pages saved; person completion failed; old account continuations added cost.</v>
      </c>
      <c r="L6" s="23" t="str">
        <v>Open report</v>
      </c>
    </row>
    <row r="7" ht="40" customHeight="1">
      <c r="A7" s="10" t="str">
        <v>P2</v>
      </c>
      <c r="B7" s="10" t="str">
        <v>Insight Health → Premier</v>
      </c>
      <c r="C7" s="10" t="str">
        <v>muse-spark-1.3</v>
      </c>
      <c r="D7" s="10" t="str">
        <v>medium</v>
      </c>
      <c r="E7" s="20" t="n">
        <v>0.01792286460648148</v>
      </c>
      <c r="F7" s="20" t="n">
        <v>0.01792286460648148</v>
      </c>
      <c r="G7" s="22" t="n">
        <f>Costs!K7</f>
        <v>2.544894</v>
      </c>
      <c r="H7" s="14" t="n">
        <v>2.1</v>
      </c>
      <c r="I7" s="10" t="n">
        <v>19</v>
      </c>
      <c r="J7" s="10" t="str">
        <v>Beth Smith: 0</v>
      </c>
      <c r="K7" s="10" t="str">
        <v>Account saved. Beth cancelled during prolonged Exa wait; recorded cost is a subtotal.</v>
      </c>
      <c r="L7" s="24" t="str">
        <v>Open report</v>
      </c>
    </row>
    <row r="8" ht="40" customHeight="1">
      <c r="A8" s="3" t="str">
        <v>P3</v>
      </c>
      <c r="B8" s="3" t="str">
        <v>Insight Health → Premier</v>
      </c>
      <c r="C8" s="3" t="str">
        <v>muse-spark-1.3</v>
      </c>
      <c r="D8" s="3" t="str">
        <v>high</v>
      </c>
      <c r="E8" s="19" t="n">
        <v>0.010097643599537038</v>
      </c>
      <c r="F8" s="19" t="n">
        <v>0.010097643599537038</v>
      </c>
      <c r="G8" s="21" t="n">
        <f>Costs!K8</f>
        <v>4.18700375</v>
      </c>
      <c r="H8" s="13" t="n">
        <v>2.1</v>
      </c>
      <c r="I8" s="3" t="n">
        <v>26</v>
      </c>
      <c r="J8" s="3" t="str">
        <v>Beth Smith: 19</v>
      </c>
      <c r="K8" s="3" t="str">
        <v>Both dossiers saved; Beth narrative unpublished after parent-version errors.</v>
      </c>
      <c r="L8" s="23" t="str">
        <v>Open report</v>
      </c>
    </row>
    <row r="9" ht="40" customHeight="1">
      <c r="A9" s="10" t="str">
        <v>P4</v>
      </c>
      <c r="B9" s="10" t="str">
        <v>Insight Health → Premier</v>
      </c>
      <c r="C9" s="10" t="str">
        <v>grok-4.7</v>
      </c>
      <c r="D9" s="10" t="str">
        <v>high</v>
      </c>
      <c r="E9" s="20" t="n">
        <v>0.03586580611111111</v>
      </c>
      <c r="F9" s="20" t="n">
        <v>0.03594907407407407</v>
      </c>
      <c r="G9" s="22" t="n">
        <f>Costs!K9</f>
        <v>10.74761515</v>
      </c>
      <c r="H9" s="14" t="n">
        <v>0.1</v>
      </c>
      <c r="I9" s="10" t="n">
        <v>68</v>
      </c>
      <c r="J9" s="10" t="str">
        <v>Todd Greer: 46 + page</v>
      </c>
      <c r="K9" s="10" t="str">
        <v>Both dossiers and Todd page saved. Account page produced by separate Muse reconciliation.</v>
      </c>
      <c r="L9" s="24" t="str">
        <v>Open report</v>
      </c>
    </row>
    <row r="10" ht="40" customHeight="1">
      <c r="A10" s="3" t="str">
        <v>P5</v>
      </c>
      <c r="B10" s="3" t="str">
        <v>Insight Health → Premier</v>
      </c>
      <c r="C10" s="3" t="str">
        <v>muse-spark-1.3</v>
      </c>
      <c r="D10" s="3" t="str">
        <v>xhigh</v>
      </c>
      <c r="E10" s="19" t="n">
        <v>0.007675583495370371</v>
      </c>
      <c r="F10" s="19" t="n">
        <v>0.007675583495370371</v>
      </c>
      <c r="G10" s="21" t="n">
        <f>Costs!K10</f>
        <v>2.7978114499999998</v>
      </c>
      <c r="H10" s="13" t="n">
        <v>1.6</v>
      </c>
      <c r="I10" s="3" t="n">
        <v>30</v>
      </c>
      <c r="J10" s="3" t="str">
        <v>Todd Greer: 0</v>
      </c>
      <c r="K10" s="3" t="str">
        <v>Account saved. Todd stopped by database disk exhaustion before dossier.</v>
      </c>
      <c r="L10" s="23" t="str">
        <v>Open report</v>
      </c>
    </row>
    <row r="11" ht="40" customHeight="1">
      <c r="A11" s="10" t="str">
        <v>Z1</v>
      </c>
      <c r="B11" s="10" t="str">
        <v>Clue → Zafran</v>
      </c>
      <c r="C11" s="10" t="str">
        <v>grok-4.6</v>
      </c>
      <c r="D11" s="10" t="str">
        <v>medium</v>
      </c>
      <c r="E11" s="20" t="n">
        <v>0.020987020960648146</v>
      </c>
      <c r="F11" s="20" t="n">
        <v>0.021013160127314814</v>
      </c>
      <c r="G11" s="22" t="n">
        <f>Costs!K11</f>
        <v>12.653226</v>
      </c>
      <c r="H11" s="14" t="n">
        <v>3.1</v>
      </c>
      <c r="I11" s="10" t="n">
        <v>52</v>
      </c>
      <c r="J11" s="10" t="str">
        <v>Vari Kaur: 38 + page
Nick Fisher: 49 + page</v>
      </c>
      <c r="K11" s="10" t="str">
        <v>All three dossiers and narratives saved; person finalization failed. Reconciliation settled.</v>
      </c>
      <c r="L11" s="24" t="str">
        <v>Open report</v>
      </c>
    </row>
    <row r="12" ht="40" customHeight="1">
      <c r="A12" s="3" t="str">
        <v>Z2</v>
      </c>
      <c r="B12" s="3" t="str">
        <v>Clue → Zafran</v>
      </c>
      <c r="C12" s="3" t="str">
        <v>grok-4.7</v>
      </c>
      <c r="D12" s="3" t="str">
        <v>medium</v>
      </c>
      <c r="E12" s="19" t="n">
        <v>0.018485020810185184</v>
      </c>
      <c r="F12" s="19" t="n">
        <v>0.018485020810185184</v>
      </c>
      <c r="G12" s="21" t="n">
        <f>Costs!K12</f>
        <v>4.0881723999999995</v>
      </c>
      <c r="H12" s="13" t="n">
        <v>4.6</v>
      </c>
      <c r="I12" s="3" t="n">
        <v>30</v>
      </c>
      <c r="J12" s="3" t="str">
        <v>Vari Kaur: 0
Nick Fisher: 0</v>
      </c>
      <c r="K12" s="3" t="str">
        <v>Provider capacity failure during draft. Nick and Vari never started.</v>
      </c>
      <c r="L12" s="23" t="str">
        <v>Open report</v>
      </c>
    </row>
    <row r="13" ht="40" customHeight="1">
      <c r="A13" s="10" t="str">
        <v>Z3</v>
      </c>
      <c r="B13" s="10" t="str">
        <v>Clue → Zafran</v>
      </c>
      <c r="C13" s="10" t="str">
        <v>glm-5.3</v>
      </c>
      <c r="D13" s="10" t="str">
        <v>medium</v>
      </c>
      <c r="E13" s="20" t="n">
        <v>0.0025698396527777776</v>
      </c>
      <c r="F13" s="20" t="n">
        <v>0.0025698396527777776</v>
      </c>
      <c r="G13" s="22" t="n">
        <f>Costs!K13</f>
        <v>1.2615870000000002</v>
      </c>
      <c r="H13" s="14" t="n">
        <v>2.1</v>
      </c>
      <c r="I13" s="10" t="n">
        <v>0</v>
      </c>
      <c r="J13" s="10" t="str">
        <v>Tom Anthony: 0
Kelly W.: 0</v>
      </c>
      <c r="K13" s="10" t="str">
        <v>No authored dossier. Wrong nominations and missing final output; operator stop followed failure.</v>
      </c>
      <c r="L13" s="24" t="str">
        <v>Open report</v>
      </c>
    </row>
    <row r="14" ht="40" customHeight="1">
      <c r="A14" s="3" t="str">
        <v>Z4</v>
      </c>
      <c r="B14" s="3" t="str">
        <v>Clue → Zafran</v>
      </c>
      <c r="C14" s="3" t="str">
        <v>glm-5.3</v>
      </c>
      <c r="D14" s="3" t="str">
        <v>medium</v>
      </c>
      <c r="E14" s="19" t="n">
        <v>0.001627675</v>
      </c>
      <c r="F14" s="19" t="n">
        <v>0.0016416397800925928</v>
      </c>
      <c r="G14" s="21" t="n">
        <f>Costs!K14</f>
        <v>0.794624</v>
      </c>
      <c r="H14" s="13" t="n">
        <v>0.1</v>
      </c>
      <c r="I14" s="3" t="n">
        <v>0</v>
      </c>
      <c r="J14" s="3" t="str">
        <v>None started</v>
      </c>
      <c r="K14" s="3" t="str">
        <v>Untouched retry truncated at 16,384 output tokens; no authored dossier.</v>
      </c>
      <c r="L14" s="23" t="str">
        <v>Open report</v>
      </c>
    </row>
    <row r="15" ht="40" customHeight="1">
      <c r="A15" s="10" t="str">
        <v>Z5</v>
      </c>
      <c r="B15" s="10" t="str">
        <v>Clue → Zafran</v>
      </c>
      <c r="C15" s="10" t="str">
        <v>deepseek-v4-pro-0813</v>
      </c>
      <c r="D15" s="10" t="str">
        <v>high</v>
      </c>
      <c r="E15" s="20" t="n">
        <v>0.03913249153935185</v>
      </c>
      <c r="F15" s="20" t="n">
        <v>0.040222532581018516</v>
      </c>
      <c r="G15" s="22" t="n">
        <f>Costs!K15</f>
        <v>8.4137567776</v>
      </c>
      <c r="H15" s="14" t="n">
        <v>1.6</v>
      </c>
      <c r="I15" s="10" t="n">
        <v>64</v>
      </c>
      <c r="J15" s="10" t="str">
        <v>Vari Kaur: 0
Nick Fisher: 37</v>
      </c>
      <c r="K15" s="10" t="str">
        <v>Account and Nick imported; Vari incomplete; no narratives; reconciliation failed.</v>
      </c>
      <c r="L15" s="24" t="str">
        <v>Open report</v>
      </c>
    </row>
    <row r="16" ht="40" customHeight="1">
      <c r="A16" s="3" t="str">
        <v>Z6</v>
      </c>
      <c r="B16" s="3" t="str">
        <v>Clue → Zafran</v>
      </c>
      <c r="C16" s="3" t="str">
        <v>muse-spark-1.3</v>
      </c>
      <c r="D16" s="3" t="str">
        <v>max</v>
      </c>
      <c r="E16" s="19" t="n">
        <v>0.023840847824074075</v>
      </c>
      <c r="F16" s="19" t="n">
        <v>0.02504014496527778</v>
      </c>
      <c r="G16" s="21" t="n">
        <f>Costs!K16</f>
        <v>13.141414</v>
      </c>
      <c r="H16" s="13" t="n">
        <v>3.1</v>
      </c>
      <c r="I16" s="3" t="n">
        <v>54</v>
      </c>
      <c r="J16" s="3" t="str">
        <v>Nick Fisher: 68
Vari Kaur: 56</v>
      </c>
      <c r="K16" s="3" t="str">
        <v>All dossiers imported; account page saved; contact pages unpublished; reconciliation failed.</v>
      </c>
      <c r="L16" s="23" t="str">
        <v>Open report</v>
      </c>
    </row>
  </sheetData>
  <mergeCells>
    <mergeCell ref="A1:L1"/>
    <mergeCell ref="A2:L3"/>
  </mergeCells>
  <hyperlinks>
    <hyperlink ref="L6" r:id="NativeLink1"/>
    <hyperlink ref="L7" r:id="NativeLink2"/>
    <hyperlink ref="L8" r:id="NativeLink3"/>
    <hyperlink ref="L9" r:id="NativeLink4"/>
    <hyperlink ref="L10" r:id="NativeLink5"/>
    <hyperlink ref="L11" r:id="NativeLink6"/>
    <hyperlink ref="L12" r:id="NativeLink7"/>
    <hyperlink ref="L13" r:id="NativeLink8"/>
    <hyperlink ref="L14" r:id="NativeLink9"/>
    <hyperlink ref="L15" r:id="NativeLink10"/>
    <hyperlink ref="L16" r:id="NativeLink11"/>
  </hyperlinks>
  <pageMargins left="0.7" right="0.7" top="0.75" bottom="0.75" header="0.3" footer="0.3"/>
  <tableParts count="1">
    <tablePart r:id="R1e6ecc194733475e"/>
  </tableParts>
</worksheet>
</file>

<file path=xl/worksheets/sheet2.xml><?xml version="1.0" encoding="utf-8"?>
<x:worksheet xmlns:x="http://schemas.openxmlformats.org/spreadsheetml/2006/main">
  <x:sheetPr>
    <x:tabColor rgb="FF234B65"/>
  </x:sheetPr>
  <x:sheetViews>
    <x:sheetView showGridLines="0" workbookViewId="0">
      <x:pane xSplit="2" ySplit="5" topLeftCell="C6" activePane="bottomRight" state="frozen"/>
    </x:sheetView>
  </x:sheetViews>
  <x:sheetFormatPr defaultRowHeight="15"/>
  <x:cols>
    <x:col min="1" max="1" width="9" hidden="0" customWidth="1"/>
    <x:col min="2" max="2" width="16" hidden="0" customWidth="1"/>
    <x:col min="3" max="3" width="14" hidden="0" customWidth="1"/>
    <x:col min="4" max="4" width="16" hidden="0" customWidth="1"/>
    <x:col min="5" max="5" width="16" hidden="0" customWidth="1"/>
    <x:col min="6" max="6" width="19" hidden="0" customWidth="1"/>
    <x:col min="7" max="7" width="20" hidden="0" customWidth="1"/>
    <x:col min="8" max="8" width="17" hidden="0" customWidth="1"/>
    <x:col min="9" max="9" width="17" hidden="0" customWidth="1"/>
    <x:col min="10" max="10" width="14" hidden="0" customWidth="1"/>
    <x:col min="11" max="11" width="18" hidden="0" customWidth="1"/>
    <x:col min="12" max="12" width="16" hidden="0" customWidth="1"/>
    <x:col min="13" max="13" width="66" hidden="0" customWidth="1"/>
  </x:cols>
  <x:sheetData>
    <x:row r="1" ht="38" customHeight="1">
      <x:c r="A1" s="5" t="str">
        <x:v>Recorded cost breakdown</x:v>
      </x:c>
      <x:c r="B1" s="5"/>
      <x:c r="C1" s="5"/>
      <x:c r="D1" s="5"/>
      <x:c r="E1" s="5"/>
      <x:c r="F1" s="5"/>
      <x:c r="G1" s="5"/>
      <x:c r="H1" s="5"/>
      <x:c r="I1" s="5"/>
      <x:c r="J1" s="5"/>
      <x:c r="K1" s="5"/>
      <x:c r="L1" s="5"/>
      <x:c r="M1" s="5"/>
    </x:row>
    <x:row r="2" ht="24" customHeight="1">
      <x:c r="A2" s="7" t="str">
        <x:v>Researcher = account and person models. Reconciliation is a separate common model. AI Ark credits are not converted to dollars. Setup02/03 have no priced research usage recorded; this does not certify a provider invoice of zero.</x:v>
      </x:c>
      <x:c r="B2" s="7"/>
      <x:c r="C2" s="7"/>
      <x:c r="D2" s="7"/>
      <x:c r="E2" s="7"/>
      <x:c r="F2" s="7"/>
      <x:c r="G2" s="7"/>
      <x:c r="H2" s="7"/>
      <x:c r="I2" s="7"/>
      <x:c r="J2" s="7"/>
      <x:c r="K2" s="7"/>
      <x:c r="L2" s="7"/>
      <x:c r="M2" s="7"/>
    </x:row>
    <x:row r="3" ht="24" customHeight="1">
      <x:c r="A3" s="7"/>
      <x:c r="B3" s="7"/>
      <x:c r="C3" s="7"/>
      <x:c r="D3" s="7"/>
      <x:c r="E3" s="7"/>
      <x:c r="F3" s="7"/>
      <x:c r="G3" s="7"/>
      <x:c r="H3" s="7"/>
      <x:c r="I3" s="7"/>
      <x:c r="J3" s="7"/>
      <x:c r="K3" s="7"/>
      <x:c r="L3" s="7"/>
      <x:c r="M3" s="7"/>
    </x:row>
    <x:row r="4">
      <x:c r="A4" s="3"/>
      <x:c r="B4" s="3"/>
      <x:c r="C4" s="3"/>
      <x:c r="D4" s="3"/>
      <x:c r="E4" s="3"/>
      <x:c r="F4" s="3"/>
      <x:c r="G4" s="3"/>
      <x:c r="H4" s="3"/>
      <x:c r="I4" s="3"/>
      <x:c r="J4" s="3"/>
      <x:c r="K4" s="3"/>
      <x:c r="L4" s="3"/>
      <x:c r="M4" s="3"/>
    </x:row>
    <x:row r="5" ht="34" customHeight="1">
      <x:c r="A5" s="9" t="str">
        <x:v>Run</x:v>
      </x:c>
      <x:c r="B5" s="9" t="str">
        <x:v>Researcher USD</x:v>
      </x:c>
      <x:c r="C5" s="9" t="str">
        <x:v>Exa USD</x:v>
      </x:c>
      <x:c r="D5" s="9" t="str">
        <x:v>Deepgram USD</x:v>
      </x:c>
      <x:c r="E5" s="9" t="str">
        <x:v>Embedding USD</x:v>
      </x:c>
      <x:c r="F5" s="9" t="str">
        <x:v>Reconciliation USD</x:v>
      </x:c>
      <x:c r="G5" s="9" t="str">
        <x:v>Old continuations USD</x:v>
      </x:c>
      <x:c r="H5" s="9" t="str">
        <x:v>Head brief USD</x:v>
      </x:c>
      <x:c r="I5" s="9" t="str">
        <x:v>Preflight USD</x:v>
      </x:c>
      <x:c r="J5" s="9" t="str">
        <x:v>Other USD</x:v>
      </x:c>
      <x:c r="K5" s="9" t="str">
        <x:v>Known total USD</x:v>
      </x:c>
      <x:c r="L5" s="9" t="str">
        <x:v>AI Ark credits</x:v>
      </x:c>
      <x:c r="M5" s="9" t="str">
        <x:v>Billing limits</x:v>
      </x:c>
    </x:row>
    <x:row r="6" ht="40" customHeight="1">
      <x:c r="A6" s="3" t="str">
        <x:v>P1</x:v>
      </x:c>
      <x:c r="B6" s="11" t="n">
        <x:v>8.07496</x:v>
      </x:c>
      <x:c r="C6" s="11" t="n">
        <x:v>0.208</x:v>
      </x:c>
      <x:c r="D6" s="11" t="n">
        <x:v>0</x:v>
      </x:c>
      <x:c r="E6" s="11" t="n">
        <x:v>0</x:v>
      </x:c>
      <x:c r="F6" s="11" t="n">
        <x:v>0</x:v>
      </x:c>
      <x:c r="G6" s="11" t="n">
        <x:v>4.12588</x:v>
      </x:c>
      <x:c r="H6" s="11" t="n">
        <x:v>0.10485</x:v>
      </x:c>
      <x:c r="I6" s="11" t="n">
        <x:v>0</x:v>
      </x:c>
      <x:c r="J6" s="11" t="n">
        <x:v>0</x:v>
      </x:c>
      <x:c r="K6" s="11" t="n">
        <x:f>SUM(B6:J6)</x:f>
        <x:v>12.513690000000002</x:v>
      </x:c>
      <x:c r="L6" s="13" t="n">
        <x:v>3.1</x:v>
      </x:c>
      <x:c r="M6" s="3" t="str">
        <x:v>Includes old continuations; possible in-flight charge missing</x:v>
      </x:c>
    </x:row>
    <x:row r="7" ht="40" customHeight="1">
      <x:c r="A7" s="10" t="str">
        <x:v>P2</x:v>
      </x:c>
      <x:c r="B7" s="12" t="n">
        <x:v>2.3588940000000003</x:v>
      </x:c>
      <x:c r="C7" s="12" t="n">
        <x:v>0.186</x:v>
      </x:c>
      <x:c r="D7" s="12" t="n">
        <x:v>0</x:v>
      </x:c>
      <x:c r="E7" s="12" t="n">
        <x:v>0</x:v>
      </x:c>
      <x:c r="F7" s="12" t="n">
        <x:v>0</x:v>
      </x:c>
      <x:c r="G7" s="12" t="n">
        <x:v>0</x:v>
      </x:c>
      <x:c r="H7" s="12" t="n">
        <x:v>0</x:v>
      </x:c>
      <x:c r="I7" s="12" t="n">
        <x:v>0</x:v>
      </x:c>
      <x:c r="J7" s="12" t="n">
        <x:v>0</x:v>
      </x:c>
      <x:c r="K7" s="12" t="n">
        <x:f>SUM(B7:J7)</x:f>
        <x:v>2.544894</x:v>
      </x:c>
      <x:c r="L7" s="14" t="n">
        <x:v>2.1</x:v>
      </x:c>
      <x:c r="M7" s="10" t="str">
        <x:v>Pending Exa billing unknown</x:v>
      </x:c>
    </x:row>
    <x:row r="8" ht="40" customHeight="1">
      <x:c r="A8" s="3" t="str">
        <x:v>P3</x:v>
      </x:c>
      <x:c r="B8" s="11" t="n">
        <x:v>3.9056290000000002</x:v>
      </x:c>
      <x:c r="C8" s="11" t="n">
        <x:v>0.18</x:v>
      </x:c>
      <x:c r="D8" s="11" t="n">
        <x:v>0</x:v>
      </x:c>
      <x:c r="E8" s="11" t="n">
        <x:v>0</x:v>
      </x:c>
      <x:c r="F8" s="11" t="n">
        <x:v>0.100531</x:v>
      </x:c>
      <x:c r="G8" s="11" t="n">
        <x:v>0</x:v>
      </x:c>
      <x:c r="H8" s="11" t="n">
        <x:v>0</x:v>
      </x:c>
      <x:c r="I8" s="11" t="n">
        <x:v>0.00084375</x:v>
      </x:c>
      <x:c r="J8" s="11" t="n">
        <x:v>0</x:v>
      </x:c>
      <x:c r="K8" s="11" t="n">
        <x:f>SUM(B8:J8)</x:f>
        <x:v>4.18700375</x:v>
      </x:c>
      <x:c r="L8" s="13" t="n">
        <x:v>2.1</x:v>
      </x:c>
      <x:c r="M8" s="3" t="str">
        <x:v>Recorded usage; not invoice reconciled</x:v>
      </x:c>
    </x:row>
    <x:row r="9" ht="32" customHeight="1">
      <x:c r="A9" s="10" t="str">
        <x:v>P4</x:v>
      </x:c>
      <x:c r="B9" s="12" t="n">
        <x:v>10.384506</x:v>
      </x:c>
      <x:c r="C9" s="12" t="n">
        <x:v>0.206</x:v>
      </x:c>
      <x:c r="D9" s="12" t="n">
        <x:v>0</x:v>
      </x:c>
      <x:c r="E9" s="12" t="n">
        <x:v>0</x:v>
      </x:c>
      <x:c r="F9" s="12" t="n">
        <x:v>0.15531075</x:v>
      </x:c>
      <x:c r="G9" s="12" t="n">
        <x:v>0</x:v>
      </x:c>
      <x:c r="H9" s="12" t="n">
        <x:v>0</x:v>
      </x:c>
      <x:c r="I9" s="12" t="n">
        <x:v>0.0017984</x:v>
      </x:c>
      <x:c r="J9" s="12" t="n">
        <x:v>0</x:v>
      </x:c>
      <x:c r="K9" s="12" t="n">
        <x:f>SUM(B9:J9)</x:f>
        <x:v>10.74761515</x:v>
      </x:c>
      <x:c r="L9" s="14" t="n">
        <x:v>0.1</x:v>
      </x:c>
      <x:c r="M9" s="10" t="str">
        <x:v>Recorded usage; not invoice reconciled</x:v>
      </x:c>
    </x:row>
    <x:row r="10" ht="40" customHeight="1">
      <x:c r="A10" s="3" t="str">
        <x:v>P5</x:v>
      </x:c>
      <x:c r="B10" s="11" t="n">
        <x:v>2.6032821999999998</x:v>
      </x:c>
      <x:c r="C10" s="11" t="n">
        <x:v>0.194</x:v>
      </x:c>
      <x:c r="D10" s="11" t="n">
        <x:v>0</x:v>
      </x:c>
      <x:c r="E10" s="11" t="n">
        <x:v>0</x:v>
      </x:c>
      <x:c r="F10" s="11" t="n">
        <x:v>0</x:v>
      </x:c>
      <x:c r="G10" s="11" t="n">
        <x:v>0</x:v>
      </x:c>
      <x:c r="H10" s="11" t="n">
        <x:v>0</x:v>
      </x:c>
      <x:c r="I10" s="11" t="n">
        <x:v>0.00052925</x:v>
      </x:c>
      <x:c r="J10" s="11" t="n">
        <x:v>0</x:v>
      </x:c>
      <x:c r="K10" s="11" t="n">
        <x:f>SUM(B10:J10)</x:f>
        <x:v>2.7978114499999998</x:v>
      </x:c>
      <x:c r="L10" s="13" t="n">
        <x:v>1.6</x:v>
      </x:c>
      <x:c r="M10" s="3" t="str">
        <x:v>Recorded usage; not invoice reconciled</x:v>
      </x:c>
    </x:row>
    <x:row r="11" ht="32" customHeight="1">
      <x:c r="A11" s="10" t="str">
        <x:v>Z1</x:v>
      </x:c>
      <x:c r="B11" s="12" t="n">
        <x:v>12.102434</x:v>
      </x:c>
      <x:c r="C11" s="12" t="n">
        <x:v>0.293</x:v>
      </x:c>
      <x:c r="D11" s="12" t="n">
        <x:v>0.081146</x:v>
      </x:c>
      <x:c r="E11" s="12" t="n">
        <x:v>0.001019</x:v>
      </x:c>
      <x:c r="F11" s="12" t="n">
        <x:v>0.174809</x:v>
      </x:c>
      <x:c r="G11" s="12" t="n">
        <x:v>0</x:v>
      </x:c>
      <x:c r="H11" s="12" t="n">
        <x:v>0</x:v>
      </x:c>
      <x:c r="I11" s="12" t="n">
        <x:v>0.000818</x:v>
      </x:c>
      <x:c r="J11" s="12" t="n">
        <x:v>0</x:v>
      </x:c>
      <x:c r="K11" s="12" t="n">
        <x:f>SUM(B11:J11)</x:f>
        <x:v>12.653226</x:v>
      </x:c>
      <x:c r="L11" s="14" t="n">
        <x:v>3.1</x:v>
      </x:c>
      <x:c r="M11" s="10" t="str">
        <x:v>Recorded usage; not invoice reconciled</x:v>
      </x:c>
    </x:row>
    <x:row r="12" ht="32" customHeight="1">
      <x:c r="A12" s="3" t="str">
        <x:v>Z2</x:v>
      </x:c>
      <x:c r="B12" s="11" t="n">
        <x:v>3.926011</x:v>
      </x:c>
      <x:c r="C12" s="11" t="n">
        <x:v>0.095</x:v>
      </x:c>
      <x:c r="D12" s="11" t="n">
        <x:v>0.065516</x:v>
      </x:c>
      <x:c r="E12" s="11" t="n">
        <x:v>0.000759</x:v>
      </x:c>
      <x:c r="F12" s="11" t="n">
        <x:v>0</x:v>
      </x:c>
      <x:c r="G12" s="11" t="n">
        <x:v>0</x:v>
      </x:c>
      <x:c r="H12" s="11" t="n">
        <x:v>0</x:v>
      </x:c>
      <x:c r="I12" s="11" t="n">
        <x:v>0.0008864</x:v>
      </x:c>
      <x:c r="J12" s="11" t="n">
        <x:v>0</x:v>
      </x:c>
      <x:c r="K12" s="11" t="n">
        <x:f>SUM(B12:J12)</x:f>
        <x:v>4.0881723999999995</x:v>
      </x:c>
      <x:c r="L12" s="13" t="n">
        <x:v>4.6</x:v>
      </x:c>
      <x:c r="M12" s="3" t="str">
        <x:v>Failed call and extra availability probe unpriced</x:v>
      </x:c>
    </x:row>
    <x:row r="13" ht="32" customHeight="1">
      <x:c r="A13" s="10" t="str">
        <x:v>Z3</x:v>
      </x:c>
      <x:c r="B13" s="12" t="n">
        <x:v>1.120041</x:v>
      </x:c>
      <x:c r="C13" s="12" t="n">
        <x:v>0.09</x:v>
      </x:c>
      <x:c r="D13" s="12" t="n">
        <x:v>0.05093</x:v>
      </x:c>
      <x:c r="E13" s="12" t="n">
        <x:v>0.000579</x:v>
      </x:c>
      <x:c r="F13" s="12" t="n">
        <x:v>0</x:v>
      </x:c>
      <x:c r="G13" s="12" t="n">
        <x:v>0</x:v>
      </x:c>
      <x:c r="H13" s="12" t="n">
        <x:v>0</x:v>
      </x:c>
      <x:c r="I13" s="12" t="n">
        <x:v>0.000037</x:v>
      </x:c>
      <x:c r="J13" s="12" t="n">
        <x:v>0</x:v>
      </x:c>
      <x:c r="K13" s="12" t="n">
        <x:f>SUM(B13:J13)</x:f>
        <x:v>1.2615870000000002</x:v>
      </x:c>
      <x:c r="L13" s="14" t="n">
        <x:v>2.1</x:v>
      </x:c>
      <x:c r="M13" s="10" t="str">
        <x:v>Recorded usage; not invoice reconciled</x:v>
      </x:c>
    </x:row>
    <x:row r="14" ht="32" customHeight="1">
      <x:c r="A14" s="3" t="str">
        <x:v>Z4</x:v>
      </x:c>
      <x:c r="B14" s="11" t="n">
        <x:v>0.704624</x:v>
      </x:c>
      <x:c r="C14" s="11" t="n">
        <x:v>0.09</x:v>
      </x:c>
      <x:c r="D14" s="11" t="n">
        <x:v>0</x:v>
      </x:c>
      <x:c r="E14" s="11" t="n">
        <x:v>0</x:v>
      </x:c>
      <x:c r="F14" s="11" t="n">
        <x:v>0</x:v>
      </x:c>
      <x:c r="G14" s="11" t="n">
        <x:v>0</x:v>
      </x:c>
      <x:c r="H14" s="11" t="n">
        <x:v>0</x:v>
      </x:c>
      <x:c r="I14" s="11" t="n">
        <x:v>0</x:v>
      </x:c>
      <x:c r="J14" s="11" t="n">
        <x:v>0</x:v>
      </x:c>
      <x:c r="K14" s="11" t="n">
        <x:f>SUM(B14:J14)</x:f>
        <x:v>0.794624</x:v>
      </x:c>
      <x:c r="L14" s="13" t="n">
        <x:v>0.1</x:v>
      </x:c>
      <x:c r="M14" s="3" t="str">
        <x:v>Recorded usage; not invoice reconciled</x:v>
      </x:c>
    </x:row>
    <x:row r="15" ht="32" customHeight="1">
      <x:c r="A15" s="10" t="str">
        <x:v>Z5</x:v>
      </x:c>
      <x:c r="B15" s="12" t="n">
        <x:v>7.954206</x:v>
      </x:c>
      <x:c r="C15" s="12" t="n">
        <x:v>0.201</x:v>
      </x:c>
      <x:c r="D15" s="12" t="n">
        <x:v>0</x:v>
      </x:c>
      <x:c r="E15" s="12" t="n">
        <x:v>0</x:v>
      </x:c>
      <x:c r="F15" s="12" t="n">
        <x:v>0.258532</x:v>
      </x:c>
      <x:c r="G15" s="12" t="n">
        <x:v>0</x:v>
      </x:c>
      <x:c r="H15" s="12" t="n">
        <x:v>0</x:v>
      </x:c>
      <x:c r="I15" s="12" t="n">
        <x:v>0.0000187776</x:v>
      </x:c>
      <x:c r="J15" s="12" t="n">
        <x:v>0</x:v>
      </x:c>
      <x:c r="K15" s="12" t="n">
        <x:f>SUM(B15:J15)</x:f>
        <x:v>8.4137567776</x:v>
      </x:c>
      <x:c r="L15" s="14" t="n">
        <x:v>1.6</x:v>
      </x:c>
      <x:c r="M15" s="10" t="str">
        <x:v>Recorded usage; not invoice reconciled</x:v>
      </x:c>
    </x:row>
    <x:row r="16" ht="32" customHeight="1">
      <x:c r="A16" s="3" t="str">
        <x:v>Z6</x:v>
      </x:c>
      <x:c r="B16" s="11" t="n">
        <x:v>12.399157</x:v>
      </x:c>
      <x:c r="C16" s="11" t="n">
        <x:v>0.338</x:v>
      </x:c>
      <x:c r="D16" s="11" t="n">
        <x:v>0</x:v>
      </x:c>
      <x:c r="E16" s="11" t="n">
        <x:v>0</x:v>
      </x:c>
      <x:c r="F16" s="11" t="n">
        <x:v>0.40414</x:v>
      </x:c>
      <x:c r="G16" s="11" t="n">
        <x:v>0</x:v>
      </x:c>
      <x:c r="H16" s="11" t="n">
        <x:v>0</x:v>
      </x:c>
      <x:c r="I16" s="11" t="n">
        <x:v>0.000117</x:v>
      </x:c>
      <x:c r="J16" s="11" t="n">
        <x:v>0</x:v>
      </x:c>
      <x:c r="K16" s="11" t="n">
        <x:f>SUM(B16:J16)</x:f>
        <x:v>13.141414</x:v>
      </x:c>
      <x:c r="L16" s="13" t="n">
        <x:v>3.1</x:v>
      </x:c>
      <x:c r="M16" s="3" t="str">
        <x:v>Recorded usage; not invoice reconciled</x:v>
      </x:c>
    </x:row>
    <x:row r="17" ht="40" customHeight="1">
      <x:c r="A17" s="10" t="str">
        <x:v>S1</x:v>
      </x:c>
      <x:c r="B17" s="12" t="n">
        <x:v>0</x:v>
      </x:c>
      <x:c r="C17" s="12" t="n">
        <x:v>0</x:v>
      </x:c>
      <x:c r="D17" s="12" t="n">
        <x:v>0</x:v>
      </x:c>
      <x:c r="E17" s="12" t="n">
        <x:v>0</x:v>
      </x:c>
      <x:c r="F17" s="12" t="n">
        <x:v>0</x:v>
      </x:c>
      <x:c r="G17" s="12" t="n">
        <x:v>0</x:v>
      </x:c>
      <x:c r="H17" s="12" t="n">
        <x:v>0.118116</x:v>
      </x:c>
      <x:c r="I17" s="12" t="n">
        <x:v>0</x:v>
      </x:c>
      <x:c r="J17" s="12" t="n">
        <x:v>0</x:v>
      </x:c>
      <x:c r="K17" s="12" t="n">
        <x:f>SUM(B17:J17)</x:f>
        <x:v>0.118116</x:v>
      </x:c>
      <x:c r="L17" s="14"/>
      <x:c r="M17" s="10" t="str">
        <x:v>Fresh shared Head brief in setup01. Counted once; no research tools.</x:v>
      </x:c>
    </x:row>
    <x:row r="19" ht="30" customHeight="1">
      <x:c r="A19" s="16" t="str">
        <x:v>Total</x:v>
      </x:c>
      <x:c r="B19" s="17" t="n">
        <x:f>SUM(B6:B17)</x:f>
        <x:v>65.5337442</x:v>
      </x:c>
      <x:c r="C19" s="17" t="n">
        <x:f>SUM(C6:C17)</x:f>
        <x:v>2.081</x:v>
      </x:c>
      <x:c r="D19" s="17" t="n">
        <x:f>SUM(D6:D17)</x:f>
        <x:v>0.19759200000000002</x:v>
      </x:c>
      <x:c r="E19" s="17" t="n">
        <x:f>SUM(E6:E17)</x:f>
        <x:v>0.002357</x:v>
      </x:c>
      <x:c r="F19" s="17" t="n">
        <x:f>SUM(F6:F17)</x:f>
        <x:v>1.09332275</x:v>
      </x:c>
      <x:c r="G19" s="17" t="n">
        <x:f>SUM(G6:G17)</x:f>
        <x:v>4.12588</x:v>
      </x:c>
      <x:c r="H19" s="17" t="n">
        <x:f>SUM(H6:H17)</x:f>
        <x:v>0.222966</x:v>
      </x:c>
      <x:c r="I19" s="17" t="n">
        <x:f>SUM(I6:I17)</x:f>
        <x:v>0.0050485776</x:v>
      </x:c>
      <x:c r="J19" s="17" t="n">
        <x:f>SUM(J6:J17)</x:f>
        <x:v>0</x:v>
      </x:c>
      <x:c r="K19" s="17" t="n">
        <x:f>SUM(K6:K17)</x:f>
        <x:v>73.2619105276</x:v>
      </x:c>
      <x:c r="L19" s="18" t="n">
        <x:f>SUM(L6:L17)</x:f>
        <x:v>23.600000000000005</x:v>
      </x:c>
      <x:c r="M19" s="16" t="str">
        <x:v>Known recorded charges; unpriced uncertainties excluded.</x:v>
      </x:c>
    </x:row>
  </x:sheetData>
  <x:mergeCells>
    <x:mergeCell ref="A1:M1"/>
    <x:mergeCell ref="A2:M3"/>
  </x:mergeCells>
  <x:pageMargins left="0.7" right="0.7" top="0.75" bottom="0.75" header="0.3" footer="0.3"/>
  <x:tableParts count="1">
    <x:tablePart xmlns:r="http://schemas.openxmlformats.org/officeDocument/2006/relationships" r:id="R9596e0f570154686"/>
  </x:tableParts>
</x:worksheet>
</file>

<file path=xl/worksheets/sheet3.xml><?xml version="1.0" encoding="utf-8"?>
<x:worksheet xmlns:x="http://schemas.openxmlformats.org/spreadsheetml/2006/main">
  <x:sheetPr>
    <x:tabColor rgb="FF234B65"/>
  </x:sheetPr>
  <x:sheetViews>
    <x:sheetView showGridLines="0" workbookViewId="0">
      <x:pane xSplit="2" ySplit="5" topLeftCell="C6" activePane="bottomRight" state="frozen"/>
    </x:sheetView>
  </x:sheetViews>
  <x:sheetFormatPr defaultRowHeight="15"/>
  <x:cols>
    <x:col min="1" max="1" width="9" hidden="0" customWidth="1"/>
    <x:col min="2" max="2" width="28" hidden="0" customWidth="1"/>
    <x:col min="3" max="3" width="22" hidden="0" customWidth="1"/>
    <x:col min="4" max="4" width="15" hidden="0" customWidth="1"/>
    <x:col min="5" max="5" width="18" hidden="0" customWidth="1"/>
    <x:col min="6" max="6" width="19" hidden="0" customWidth="1"/>
    <x:col min="7" max="7" width="19" hidden="0" customWidth="1"/>
    <x:col min="8" max="8" width="17" hidden="0" customWidth="1"/>
    <x:col min="9" max="9" width="17" hidden="0" customWidth="1"/>
    <x:col min="10" max="10" width="19" hidden="0" customWidth="1"/>
    <x:col min="11" max="11" width="14" hidden="0" customWidth="1"/>
    <x:col min="12" max="12" width="15" hidden="0" customWidth="1"/>
    <x:col min="13" max="13" width="24" hidden="0" customWidth="1"/>
    <x:col min="14" max="14" width="24" hidden="0" customWidth="1"/>
    <x:col min="15" max="15" width="43" hidden="0" customWidth="1"/>
  </x:cols>
  <x:sheetData>
    <x:row r="1" ht="38" customHeight="1">
      <x:c r="A1" s="5" t="str">
        <x:v>Per-account and per-person timing</x:v>
      </x:c>
      <x:c r="B1" s="5"/>
      <x:c r="C1" s="5"/>
      <x:c r="D1" s="5"/>
      <x:c r="E1" s="5"/>
      <x:c r="F1" s="5"/>
      <x:c r="G1" s="5"/>
      <x:c r="H1" s="5"/>
      <x:c r="I1" s="5"/>
      <x:c r="J1" s="5"/>
      <x:c r="K1" s="5"/>
      <x:c r="L1" s="5"/>
      <x:c r="M1" s="5"/>
      <x:c r="N1" s="5"/>
      <x:c r="O1" s="5"/>
    </x:row>
    <x:row r="2" ht="24" customHeight="1">
      <x:c r="A2" s="7" t="str">
        <x:v>Times are job wall duration and observed phase boundaries. “Before formation” includes preparation, research and source review. Blank phase times mean no completed milestone. Model cost excludes providers. Zero findings on blocked jobs means none authored, not an empty successful investigation.</x:v>
      </x:c>
      <x:c r="B2" s="7"/>
      <x:c r="C2" s="7"/>
      <x:c r="D2" s="7"/>
      <x:c r="E2" s="7"/>
      <x:c r="F2" s="7"/>
      <x:c r="G2" s="7"/>
      <x:c r="H2" s="7"/>
      <x:c r="I2" s="7"/>
      <x:c r="J2" s="7"/>
      <x:c r="K2" s="7"/>
      <x:c r="L2" s="7"/>
      <x:c r="M2" s="7"/>
      <x:c r="N2" s="7"/>
      <x:c r="O2" s="7"/>
    </x:row>
    <x:row r="3" ht="24" customHeight="1">
      <x:c r="A3" s="7"/>
      <x:c r="B3" s="7"/>
      <x:c r="C3" s="7"/>
      <x:c r="D3" s="7"/>
      <x:c r="E3" s="7"/>
      <x:c r="F3" s="7"/>
      <x:c r="G3" s="7"/>
      <x:c r="H3" s="7"/>
      <x:c r="I3" s="7"/>
      <x:c r="J3" s="7"/>
      <x:c r="K3" s="7"/>
      <x:c r="L3" s="7"/>
      <x:c r="M3" s="7"/>
      <x:c r="N3" s="7"/>
      <x:c r="O3" s="7"/>
    </x:row>
    <x:row r="4">
      <x:c r="A4" s="3"/>
      <x:c r="B4" s="3"/>
      <x:c r="C4" s="3"/>
      <x:c r="D4" s="3"/>
      <x:c r="E4" s="3"/>
      <x:c r="F4" s="3"/>
      <x:c r="G4" s="3"/>
      <x:c r="H4" s="3"/>
      <x:c r="I4" s="3"/>
      <x:c r="J4" s="3"/>
      <x:c r="K4" s="3"/>
      <x:c r="L4" s="3"/>
      <x:c r="M4" s="3"/>
      <x:c r="N4" s="3"/>
      <x:c r="O4" s="3"/>
    </x:row>
    <x:row r="5" ht="34" customHeight="1">
      <x:c r="A5" s="9" t="str">
        <x:v>Run</x:v>
      </x:c>
      <x:c r="B5" s="9" t="str">
        <x:v>Entity</x:v>
      </x:c>
      <x:c r="C5" s="9" t="str">
        <x:v>Status</x:v>
      </x:c>
      <x:c r="D5" s="9" t="str">
        <x:v>Job elapsed</x:v>
      </x:c>
      <x:c r="E5" s="9" t="str">
        <x:v>Before formation</x:v>
      </x:c>
      <x:c r="F5" s="9" t="str">
        <x:v>Formation → import</x:v>
      </x:c>
      <x:c r="G5" s="9" t="str">
        <x:v>Import → narrative</x:v>
      </x:c>
      <x:c r="H5" s="9" t="str">
        <x:v>Initial / draft findings</x:v>
      </x:c>
      <x:c r="I5" s="9" t="str">
        <x:v>Latest stored findings</x:v>
      </x:c>
      <x:c r="J5" s="9" t="str">
        <x:v>Researcher narrative</x:v>
      </x:c>
      <x:c r="K5" s="9" t="str">
        <x:v>Model calls</x:v>
      </x:c>
      <x:c r="L5" s="9" t="str">
        <x:v>Model USD</x:v>
      </x:c>
      <x:c r="M5" s="9" t="str">
        <x:v>Start UTC</x:v>
      </x:c>
      <x:c r="N5" s="9" t="str">
        <x:v>End UTC</x:v>
      </x:c>
      <x:c r="O5" s="9" t="str">
        <x:v>Job ID</x:v>
      </x:c>
    </x:row>
    <x:row r="6" ht="54" customHeight="1">
      <x:c r="A6" s="3" t="str">
        <x:v>P1</x:v>
      </x:c>
      <x:c r="B6" s="3" t="str">
        <x:v>Premier Gastroenterology</x:v>
      </x:c>
      <x:c r="C6" s="3" t="str">
        <x:v>completed</x:v>
      </x:c>
      <x:c r="D6" s="19" t="n">
        <x:v>0.01147174449074074</x:v>
      </x:c>
      <x:c r="E6" s="19" t="n">
        <x:v>0.004393796296296297</x:v>
      </x:c>
      <x:c r="F6" s="19" t="n">
        <x:v>0.005344433402777778</x:v>
      </x:c>
      <x:c r="G6" s="19" t="n">
        <x:v>0.0013171469212962964</x:v>
      </x:c>
      <x:c r="H6" s="3" t="n">
        <x:v>52</x:v>
      </x:c>
      <x:c r="I6" s="3" t="n">
        <x:v>60</x:v>
      </x:c>
      <x:c r="J6" s="3" t="str">
        <x:v>Saved</x:v>
      </x:c>
      <x:c r="K6" s="3" t="n">
        <x:v>78</x:v>
      </x:c>
      <x:c r="L6" s="25" t="n">
        <x:v>4.80246</x:v>
      </x:c>
      <x:c r="M6" s="27" t="n">
        <x:v>46292.8051833912</x:v>
      </x:c>
      <x:c r="N6" s="27" t="n">
        <x:v>46292.816655138886</x:v>
      </x:c>
      <x:c r="O6" s="3" t="str">
        <x:v>8e9c0c15-df34-5047-a1b6-c2a482b42a48</x:v>
      </x:c>
    </x:row>
    <x:row r="7" ht="54" customHeight="1">
      <x:c r="A7" s="10" t="str">
        <x:v>P1</x:v>
      </x:c>
      <x:c r="B7" s="10" t="str">
        <x:v>Todd Greer</x:v>
      </x:c>
      <x:c r="C7" s="10" t="str">
        <x:v>needs_review</x:v>
      </x:c>
      <x:c r="D7" s="20" t="n">
        <x:v>0.009662378379629629</x:v>
      </x:c>
      <x:c r="E7" s="20" t="n">
        <x:v>0.003990023148148148</x:v>
      </x:c>
      <x:c r="F7" s="20" t="n">
        <x:v>0.001892433240740741</x:v>
      </x:c>
      <x:c r="G7" s="20" t="n">
        <x:v>0.0032585776041666667</x:v>
      </x:c>
      <x:c r="H7" s="10" t="n">
        <x:v>37</x:v>
      </x:c>
      <x:c r="I7" s="10" t="n">
        <x:v>37</x:v>
      </x:c>
      <x:c r="J7" s="10" t="str">
        <x:v>Saved</x:v>
      </x:c>
      <x:c r="K7" s="10" t="n">
        <x:v>48</x:v>
      </x:c>
      <x:c r="L7" s="26" t="n">
        <x:v>3.2725</x:v>
      </x:c>
      <x:c r="M7" s="28" t="n">
        <x:v>46292.814938414354</x:v>
      </x:c>
      <x:c r="N7" s="28" t="n">
        <x:v>46292.82460079861</x:v>
      </x:c>
      <x:c r="O7" s="10" t="str">
        <x:v>51acdfbb-d6c1-5ce2-8c7b-74761f40dddd</x:v>
      </x:c>
    </x:row>
    <x:row r="8" ht="54" customHeight="1">
      <x:c r="A8" s="3" t="str">
        <x:v>P2</x:v>
      </x:c>
      <x:c r="B8" s="3" t="str">
        <x:v>Premier Gastroenterology</x:v>
      </x:c>
      <x:c r="C8" s="3" t="str">
        <x:v>completed</x:v>
      </x:c>
      <x:c r="D8" s="19" t="n">
        <x:v>0.005308429513888889</x:v>
      </x:c>
      <x:c r="E8" s="19" t="n">
        <x:v>0.0026962847222222223</x:v>
      </x:c>
      <x:c r="F8" s="19" t="n">
        <x:v>0.0008861138657407407</x:v>
      </x:c>
      <x:c r="G8" s="19" t="n">
        <x:v>0.001514635949074074</x:v>
      </x:c>
      <x:c r="H8" s="3" t="n">
        <x:v>19</x:v>
      </x:c>
      <x:c r="I8" s="3" t="n">
        <x:v>19</x:v>
      </x:c>
      <x:c r="J8" s="3" t="str">
        <x:v>Saved</x:v>
      </x:c>
      <x:c r="K8" s="3" t="n">
        <x:v>48</x:v>
      </x:c>
      <x:c r="L8" s="25" t="n">
        <x:v>1.708644</x:v>
      </x:c>
      <x:c r="M8" s="27" t="n">
        <x:v>46293.18825723379</x:v>
      </x:c>
      <x:c r="N8" s="27" t="n">
        <x:v>46293.19356565972</x:v>
      </x:c>
      <x:c r="O8" s="3" t="str">
        <x:v>c80f26cc-33e8-5529-b018-84f06ccbb325</x:v>
      </x:c>
    </x:row>
    <x:row r="9" ht="54" customHeight="1">
      <x:c r="A9" s="10" t="str">
        <x:v>P2</x:v>
      </x:c>
      <x:c r="B9" s="10" t="str">
        <x:v>Beth Smith</x:v>
      </x:c>
      <x:c r="C9" s="10" t="str">
        <x:v>cancelled_by_user</x:v>
      </x:c>
      <x:c r="D9" s="20" t="n">
        <x:v>0.01432444386574074</x:v>
      </x:c>
      <x:c r="E9" s="20"/>
      <x:c r="F9" s="20"/>
      <x:c r="G9" s="20"/>
      <x:c r="H9" s="10" t="n">
        <x:v>0</x:v>
      </x:c>
      <x:c r="I9" s="10" t="n">
        <x:v>0</x:v>
      </x:c>
      <x:c r="J9" s="10" t="str">
        <x:v>Not saved</x:v>
      </x:c>
      <x:c r="K9" s="10" t="n">
        <x:v>21</x:v>
      </x:c>
      <x:c r="L9" s="26" t="n">
        <x:v>0.65025</x:v>
      </x:c>
      <x:c r="M9" s="28" t="n">
        <x:v>46293.19185565972</x:v>
      </x:c>
      <x:c r="N9" s="28" t="n">
        <x:v>46293.206180092595</x:v>
      </x:c>
      <x:c r="O9" s="10" t="str">
        <x:v>a367f7c4-e2fc-5236-b5c9-ea7133b55e42</x:v>
      </x:c>
    </x:row>
    <x:row r="10" ht="54" customHeight="1">
      <x:c r="A10" s="3" t="str">
        <x:v>P3</x:v>
      </x:c>
      <x:c r="B10" s="3" t="str">
        <x:v>Premier Gastroenterology</x:v>
      </x:c>
      <x:c r="C10" s="3" t="str">
        <x:v>completed</x:v>
      </x:c>
      <x:c r="D10" s="19" t="n">
        <x:v>0.004923446805555556</x:v>
      </x:c>
      <x:c r="E10" s="19" t="n">
        <x:v>0.0027583680555555556</x:v>
      </x:c>
      <x:c r="F10" s="19" t="n">
        <x:v>0.0009250532523148148</x:v>
      </x:c>
      <x:c r="G10" s="19" t="n">
        <x:v>0.0009144024999999999</x:v>
      </x:c>
      <x:c r="H10" s="3" t="n">
        <x:v>26</x:v>
      </x:c>
      <x:c r="I10" s="3" t="n">
        <x:v>26</x:v>
      </x:c>
      <x:c r="J10" s="3" t="str">
        <x:v>Saved</x:v>
      </x:c>
      <x:c r="K10" s="3" t="n">
        <x:v>55</x:v>
      </x:c>
      <x:c r="L10" s="25" t="n">
        <x:v>1.7524170000000001</x:v>
      </x:c>
      <x:c r="M10" s="27" t="n">
        <x:v>46293.22105435185</x:v>
      </x:c>
      <x:c r="N10" s="27" t="n">
        <x:v>46293.22597778935</x:v>
      </x:c>
      <x:c r="O10" s="3" t="str">
        <x:v>c80f26cc-33e8-5529-b018-84f06ccbb325</x:v>
      </x:c>
    </x:row>
    <x:row r="11" ht="54" customHeight="1">
      <x:c r="A11" s="10" t="str">
        <x:v>P3</x:v>
      </x:c>
      <x:c r="B11" s="10" t="str">
        <x:v>Beth Smith</x:v>
      </x:c>
      <x:c r="C11" s="10" t="str">
        <x:v>needs_review</x:v>
      </x:c>
      <x:c r="D11" s="20" t="n">
        <x:v>0.006380603252314815</x:v>
      </x:c>
      <x:c r="E11" s="20" t="n">
        <x:v>0.003127951388888889</x:v>
      </x:c>
      <x:c r="F11" s="20" t="n">
        <x:v>0.0013984964699074074</x:v>
      </x:c>
      <x:c r="G11" s="20"/>
      <x:c r="H11" s="10" t="n">
        <x:v>19</x:v>
      </x:c>
      <x:c r="I11" s="10" t="n">
        <x:v>19</x:v>
      </x:c>
      <x:c r="J11" s="10" t="str">
        <x:v>Not saved</x:v>
      </x:c>
      <x:c r="K11" s="10" t="n">
        <x:v>61</x:v>
      </x:c>
      <x:c r="L11" s="26" t="n">
        <x:v>2.153212</x:v>
      </x:c>
      <x:c r="M11" s="28" t="n">
        <x:v>46293.22477138889</x:v>
      </x:c>
      <x:c r="N11" s="28" t="n">
        <x:v>46293.23115199074</x:v>
      </x:c>
      <x:c r="O11" s="10" t="str">
        <x:v>ce2ce4f1-ab74-5f41-b739-6dd5a201088e</x:v>
      </x:c>
    </x:row>
    <x:row r="12" ht="54" customHeight="1">
      <x:c r="A12" s="3" t="str">
        <x:v>P4</x:v>
      </x:c>
      <x:c r="B12" s="3" t="str">
        <x:v>Premier Gastroenterology</x:v>
      </x:c>
      <x:c r="C12" s="3" t="str">
        <x:v>needs_review</x:v>
      </x:c>
      <x:c r="D12" s="19" t="n">
        <x:v>0.020604871597222223</x:v>
      </x:c>
      <x:c r="E12" s="19" t="n">
        <x:v>0.014622766203703702</x:v>
      </x:c>
      <x:c r="F12" s="19" t="n">
        <x:v>0.003909831793981481</x:v>
      </x:c>
      <x:c r="G12" s="19"/>
      <x:c r="H12" s="3" t="n">
        <x:v>68</x:v>
      </x:c>
      <x:c r="I12" s="3" t="n">
        <x:v>68</x:v>
      </x:c>
      <x:c r="J12" s="3" t="str">
        <x:v>Not saved</x:v>
      </x:c>
      <x:c r="K12" s="3" t="n">
        <x:v>89</x:v>
      </x:c>
      <x:c r="L12" s="25" t="n">
        <x:v>5.408576</x:v>
      </x:c>
      <x:c r="M12" s="27" t="n">
        <x:v>46293.25278575232</x:v>
      </x:c>
      <x:c r="N12" s="27" t="n">
        <x:v>46293.273390625</x:v>
      </x:c>
      <x:c r="O12" s="3" t="str">
        <x:v>c80f26cc-33e8-5529-b018-84f06ccbb325</x:v>
      </x:c>
    </x:row>
    <x:row r="13" ht="54" customHeight="1">
      <x:c r="A13" s="10" t="str">
        <x:v>P4</x:v>
      </x:c>
      <x:c r="B13" s="10" t="str">
        <x:v>Todd Greer</x:v>
      </x:c>
      <x:c r="C13" s="10" t="str">
        <x:v>needs_review</x:v>
      </x:c>
      <x:c r="D13" s="20" t="n">
        <x:v>0.017306598344907408</x:v>
      </x:c>
      <x:c r="E13" s="20" t="n">
        <x:v>0.009533414351851852</x:v>
      </x:c>
      <x:c r="F13" s="20" t="n">
        <x:v>0.0026498268055555555</x:v>
      </x:c>
      <x:c r="G13" s="20" t="n">
        <x:v>0.002891263726851852</x:v>
      </x:c>
      <x:c r="H13" s="10" t="n">
        <x:v>46</x:v>
      </x:c>
      <x:c r="I13" s="10" t="n">
        <x:v>46</x:v>
      </x:c>
      <x:c r="J13" s="10" t="str">
        <x:v>Saved</x:v>
      </x:c>
      <x:c r="K13" s="10" t="n">
        <x:v>82</x:v>
      </x:c>
      <x:c r="L13" s="26" t="n">
        <x:v>4.97593</x:v>
      </x:c>
      <x:c r="M13" s="28" t="n">
        <x:v>46293.27134496528</x:v>
      </x:c>
      <x:c r="N13" s="28" t="n">
        <x:v>46293.2886515625</x:v>
      </x:c>
      <x:c r="O13" s="10" t="str">
        <x:v>6bc03f41-fd75-5ce8-998d-6ec983efd86c</x:v>
      </x:c>
    </x:row>
    <x:row r="14" ht="54" customHeight="1">
      <x:c r="A14" s="3" t="str">
        <x:v>P5</x:v>
      </x:c>
      <x:c r="B14" s="3" t="str">
        <x:v>Premier Gastroenterology</x:v>
      </x:c>
      <x:c r="C14" s="3" t="str">
        <x:v>completed</x:v>
      </x:c>
      <x:c r="D14" s="19" t="n">
        <x:v>0.005225098449074074</x:v>
      </x:c>
      <x:c r="E14" s="19" t="n">
        <x:v>0.003540648148148148</x:v>
      </x:c>
      <x:c r="F14" s="19" t="n">
        <x:v>0.0008538780902777778</x:v>
      </x:c>
      <x:c r="G14" s="19" t="n">
        <x:v>0.00046323849537037036</x:v>
      </x:c>
      <x:c r="H14" s="3" t="n">
        <x:v>30</x:v>
      </x:c>
      <x:c r="I14" s="3" t="n">
        <x:v>30</x:v>
      </x:c>
      <x:c r="J14" s="3" t="str">
        <x:v>Saved</x:v>
      </x:c>
      <x:c r="K14" s="3" t="n">
        <x:v>66</x:v>
      </x:c>
      <x:c r="L14" s="25" t="n">
        <x:v>1.54478</x:v>
      </x:c>
      <x:c r="M14" s="27" t="n">
        <x:v>46293.295757824075</x:v>
      </x:c>
      <x:c r="N14" s="27" t="n">
        <x:v>46293.30098292824</x:v>
      </x:c>
      <x:c r="O14" s="3" t="str">
        <x:v>c80f26cc-33e8-5529-b018-84f06ccbb325</x:v>
      </x:c>
    </x:row>
    <x:row r="15" ht="54" customHeight="1">
      <x:c r="A15" s="10" t="str">
        <x:v>P5</x:v>
      </x:c>
      <x:c r="B15" s="10" t="str">
        <x:v>Todd Greer</x:v>
      </x:c>
      <x:c r="C15" s="10" t="str">
        <x:v>infrastructure_interrupted</x:v>
      </x:c>
      <x:c r="D15" s="20" t="n">
        <x:v>0.0032579532407407408</x:v>
      </x:c>
      <x:c r="E15" s="20"/>
      <x:c r="F15" s="20"/>
      <x:c r="G15" s="20"/>
      <x:c r="H15" s="10" t="n">
        <x:v>0</x:v>
      </x:c>
      <x:c r="I15" s="10" t="n">
        <x:v>0</x:v>
      </x:c>
      <x:c r="J15" s="10" t="str">
        <x:v>Not saved</x:v>
      </x:c>
      <x:c r="K15" s="10" t="n">
        <x:v>42</x:v>
      </x:c>
      <x:c r="L15" s="26" t="n">
        <x:v>1.0585022</x:v>
      </x:c>
      <x:c r="M15" s="28" t="n">
        <x:v>46293.300175462966</x:v>
      </x:c>
      <x:c r="N15" s="28" t="n">
        <x:v>46293.30343341435</x:v>
      </x:c>
      <x:c r="O15" s="10" t="str">
        <x:v>47c616df-95cf-5bff-8fc4-c91b26554e75</x:v>
      </x:c>
    </x:row>
    <x:row r="16" ht="54" customHeight="1">
      <x:c r="A16" s="3" t="str">
        <x:v>Z1</x:v>
      </x:c>
      <x:c r="B16" s="3" t="str">
        <x:v>Zafran Security</x:v>
      </x:c>
      <x:c r="C16" s="3" t="str">
        <x:v>completed</x:v>
      </x:c>
      <x:c r="D16" s="19" t="n">
        <x:v>0.010935484583333334</x:v>
      </x:c>
      <x:c r="E16" s="19" t="n">
        <x:v>0.004498038599537037</x:v>
      </x:c>
      <x:c r="F16" s="19" t="n">
        <x:v>0.0030821414930555556</x:v>
      </x:c>
      <x:c r="G16" s="19" t="n">
        <x:v>0.002666686180555556</x:v>
      </x:c>
      <x:c r="H16" s="3" t="n">
        <x:v>52</x:v>
      </x:c>
      <x:c r="I16" s="3" t="n">
        <x:v>52</x:v>
      </x:c>
      <x:c r="J16" s="3" t="str">
        <x:v>Saved</x:v>
      </x:c>
      <x:c r="K16" s="3" t="n">
        <x:v>61</x:v>
      </x:c>
      <x:c r="L16" s="25" t="n">
        <x:v>4.2804</x:v>
      </x:c>
      <x:c r="M16" s="27" t="n">
        <x:v>46293.3615134375</x:v>
      </x:c>
      <x:c r="N16" s="27" t="n">
        <x:v>46293.372448912036</x:v>
      </x:c>
      <x:c r="O16" s="3" t="str">
        <x:v>59d4870e-2207-56ca-a50b-e76ab86f6a53</x:v>
      </x:c>
    </x:row>
    <x:row r="17" ht="54" customHeight="1">
      <x:c r="A17" s="10" t="str">
        <x:v>Z1</x:v>
      </x:c>
      <x:c r="B17" s="10" t="str">
        <x:v>Vari Kaur</x:v>
      </x:c>
      <x:c r="C17" s="10" t="str">
        <x:v>needs_review</x:v>
      </x:c>
      <x:c r="D17" s="20" t="n">
        <x:v>0.009306901886574074</x:v>
      </x:c>
      <x:c r="E17" s="20" t="n">
        <x:v>0.004153797349537036</x:v>
      </x:c>
      <x:c r="F17" s="20" t="n">
        <x:v>0.0025064493402777777</x:v>
      </x:c>
      <x:c r="G17" s="20" t="n">
        <x:v>0.0019094427199074075</x:v>
      </x:c>
      <x:c r="H17" s="10" t="n">
        <x:v>38</x:v>
      </x:c>
      <x:c r="I17" s="10" t="n">
        <x:v>38</x:v>
      </x:c>
      <x:c r="J17" s="10" t="str">
        <x:v>Saved</x:v>
      </x:c>
      <x:c r="K17" s="10" t="n">
        <x:v>44</x:v>
      </x:c>
      <x:c r="L17" s="26" t="n">
        <x:v>3.13394</x:v>
      </x:c>
      <x:c r="M17" s="28" t="n">
        <x:v>46293.369176388886</x:v>
      </x:c>
      <x:c r="N17" s="28" t="n">
        <x:v>46293.37848328704</x:v>
      </x:c>
      <x:c r="O17" s="10" t="str">
        <x:v>04070cd2-53e0-510c-8373-2f6511f15052</x:v>
      </x:c>
    </x:row>
    <x:row r="18" ht="54" customHeight="1">
      <x:c r="A18" s="3" t="str">
        <x:v>Z1</x:v>
      </x:c>
      <x:c r="B18" s="3" t="str">
        <x:v>Nick Fisher</x:v>
      </x:c>
      <x:c r="C18" s="3" t="str">
        <x:v>needs_review</x:v>
      </x:c>
      <x:c r="D18" s="19" t="n">
        <x:v>0.013319931863425925</x:v>
      </x:c>
      <x:c r="E18" s="19" t="n">
        <x:v>0.006750585625</x:v>
      </x:c>
      <x:c r="F18" s="19" t="n">
        <x:v>0.004620488414351851</x:v>
      </x:c>
      <x:c r="G18" s="19" t="n">
        <x:v>0.0012899919791666667</x:v>
      </x:c>
      <x:c r="H18" s="3" t="n">
        <x:v>49</x:v>
      </x:c>
      <x:c r="I18" s="3" t="n">
        <x:v>49</x:v>
      </x:c>
      <x:c r="J18" s="3" t="str">
        <x:v>Saved</x:v>
      </x:c>
      <x:c r="K18" s="3" t="n">
        <x:v>80</x:v>
      </x:c>
      <x:c r="L18" s="25" t="n">
        <x:v>4.688094</x:v>
      </x:c>
      <x:c r="M18" s="27" t="n">
        <x:v>46293.36918052084</x:v>
      </x:c>
      <x:c r="N18" s="27" t="n">
        <x:v>46293.382500451386</x:v>
      </x:c>
      <x:c r="O18" s="3" t="str">
        <x:v>05d4fa83-5d48-5d21-ab82-867e8af0819d</x:v>
      </x:c>
    </x:row>
    <x:row r="19" ht="32" customHeight="1">
      <x:c r="A19" s="10" t="str">
        <x:v>Z2</x:v>
      </x:c>
      <x:c r="B19" s="10" t="str">
        <x:v>Vari Kaur</x:v>
      </x:c>
      <x:c r="C19" s="10" t="str">
        <x:v>not_started</x:v>
      </x:c>
      <x:c r="D19" s="20"/>
      <x:c r="E19" s="20"/>
      <x:c r="F19" s="20"/>
      <x:c r="G19" s="20"/>
      <x:c r="H19" s="10" t="n">
        <x:v>0</x:v>
      </x:c>
      <x:c r="I19" s="10" t="n">
        <x:v>0</x:v>
      </x:c>
      <x:c r="J19" s="10" t="str">
        <x:v>Not saved</x:v>
      </x:c>
      <x:c r="K19" s="10" t="n">
        <x:v>0</x:v>
      </x:c>
      <x:c r="L19" s="26" t="n">
        <x:v>0</x:v>
      </x:c>
      <x:c r="M19" s="28"/>
      <x:c r="N19" s="28"/>
      <x:c r="O19" s="10" t="str">
        <x:v>ea54ef0e-91b7-501e-996e-97ce42a15264</x:v>
      </x:c>
    </x:row>
    <x:row r="20" ht="32" customHeight="1">
      <x:c r="A20" s="3" t="str">
        <x:v>Z2</x:v>
      </x:c>
      <x:c r="B20" s="3" t="str">
        <x:v>Nick Fisher</x:v>
      </x:c>
      <x:c r="C20" s="3" t="str">
        <x:v>not_started</x:v>
      </x:c>
      <x:c r="D20" s="19"/>
      <x:c r="E20" s="19"/>
      <x:c r="F20" s="19"/>
      <x:c r="G20" s="19"/>
      <x:c r="H20" s="3" t="n">
        <x:v>0</x:v>
      </x:c>
      <x:c r="I20" s="3" t="n">
        <x:v>0</x:v>
      </x:c>
      <x:c r="J20" s="3" t="str">
        <x:v>Not saved</x:v>
      </x:c>
      <x:c r="K20" s="3" t="n">
        <x:v>0</x:v>
      </x:c>
      <x:c r="L20" s="25" t="n">
        <x:v>0</x:v>
      </x:c>
      <x:c r="M20" s="27"/>
      <x:c r="N20" s="27"/>
      <x:c r="O20" s="3" t="str">
        <x:v>5427e1bf-1da3-5af3-80c7-31100873f585</x:v>
      </x:c>
    </x:row>
    <x:row r="21" ht="54" customHeight="1">
      <x:c r="A21" s="10" t="str">
        <x:v>Z2</x:v>
      </x:c>
      <x:c r="B21" s="10" t="str">
        <x:v>Zafran Security</x:v>
      </x:c>
      <x:c r="C21" s="10" t="str">
        <x:v>needs_review</x:v>
      </x:c>
      <x:c r="D21" s="20" t="n">
        <x:v>0.018485020810185184</x:v>
      </x:c>
      <x:c r="E21" s="20" t="n">
        <x:v>0.011562065601851851</x:v>
      </x:c>
      <x:c r="F21" s="20"/>
      <x:c r="G21" s="20"/>
      <x:c r="H21" s="10" t="n">
        <x:v>30</x:v>
      </x:c>
      <x:c r="I21" s="10" t="n">
        <x:v>0</x:v>
      </x:c>
      <x:c r="J21" s="10" t="str">
        <x:v>Not saved</x:v>
      </x:c>
      <x:c r="K21" s="10" t="n">
        <x:v>68</x:v>
      </x:c>
      <x:c r="L21" s="26" t="n">
        <x:v>3.926011</x:v>
      </x:c>
      <x:c r="M21" s="28" t="n">
        <x:v>46293.36151353009</x:v>
      </x:c>
      <x:c r="N21" s="28" t="n">
        <x:v>46293.37999855324</x:v>
      </x:c>
      <x:c r="O21" s="10" t="str">
        <x:v>59d4870e-2207-56ca-a50b-e76ab86f6a53</x:v>
      </x:c>
    </x:row>
    <x:row r="22" ht="32" customHeight="1">
      <x:c r="A22" s="3" t="str">
        <x:v>Z3</x:v>
      </x:c>
      <x:c r="B22" s="3" t="str">
        <x:v>Tom Anthony</x:v>
      </x:c>
      <x:c r="C22" s="3" t="str">
        <x:v>not_started</x:v>
      </x:c>
      <x:c r="D22" s="19"/>
      <x:c r="E22" s="19"/>
      <x:c r="F22" s="19"/>
      <x:c r="G22" s="19"/>
      <x:c r="H22" s="3" t="n">
        <x:v>0</x:v>
      </x:c>
      <x:c r="I22" s="3" t="n">
        <x:v>0</x:v>
      </x:c>
      <x:c r="J22" s="3" t="str">
        <x:v>Not saved</x:v>
      </x:c>
      <x:c r="K22" s="3" t="n">
        <x:v>0</x:v>
      </x:c>
      <x:c r="L22" s="25" t="n">
        <x:v>0</x:v>
      </x:c>
      <x:c r="M22" s="27"/>
      <x:c r="N22" s="27"/>
      <x:c r="O22" s="3" t="str">
        <x:v>631ec33b-a46f-52f4-801e-9eab8cfc2efd</x:v>
      </x:c>
    </x:row>
    <x:row r="23" ht="32" customHeight="1">
      <x:c r="A23" s="10" t="str">
        <x:v>Z3</x:v>
      </x:c>
      <x:c r="B23" s="10" t="str">
        <x:v>Kelly W.</x:v>
      </x:c>
      <x:c r="C23" s="10" t="str">
        <x:v>not_started</x:v>
      </x:c>
      <x:c r="D23" s="20"/>
      <x:c r="E23" s="20"/>
      <x:c r="F23" s="20"/>
      <x:c r="G23" s="20"/>
      <x:c r="H23" s="10" t="n">
        <x:v>0</x:v>
      </x:c>
      <x:c r="I23" s="10" t="n">
        <x:v>0</x:v>
      </x:c>
      <x:c r="J23" s="10" t="str">
        <x:v>Not saved</x:v>
      </x:c>
      <x:c r="K23" s="10" t="n">
        <x:v>0</x:v>
      </x:c>
      <x:c r="L23" s="26" t="n">
        <x:v>0</x:v>
      </x:c>
      <x:c r="M23" s="28"/>
      <x:c r="N23" s="28"/>
      <x:c r="O23" s="10" t="str">
        <x:v>684b62dc-6ab1-5285-aded-984c4d580d49</x:v>
      </x:c>
    </x:row>
    <x:row r="24" ht="54" customHeight="1">
      <x:c r="A24" s="3" t="str">
        <x:v>Z3</x:v>
      </x:c>
      <x:c r="B24" s="3" t="str">
        <x:v>Zafran Security</x:v>
      </x:c>
      <x:c r="C24" s="3" t="str">
        <x:v>needs_review</x:v>
      </x:c>
      <x:c r="D24" s="19" t="n">
        <x:v>0.0025698396527777776</x:v>
      </x:c>
      <x:c r="E24" s="19"/>
      <x:c r="F24" s="19"/>
      <x:c r="G24" s="19"/>
      <x:c r="H24" s="3" t="n">
        <x:v>0</x:v>
      </x:c>
      <x:c r="I24" s="3" t="n">
        <x:v>0</x:v>
      </x:c>
      <x:c r="J24" s="3" t="str">
        <x:v>Not saved</x:v>
      </x:c>
      <x:c r="K24" s="3" t="n">
        <x:v>50</x:v>
      </x:c>
      <x:c r="L24" s="25" t="n">
        <x:v>1.120041</x:v>
      </x:c>
      <x:c r="M24" s="27" t="n">
        <x:v>46293.36151351852</x:v>
      </x:c>
      <x:c r="N24" s="27" t="n">
        <x:v>46293.36408335648</x:v>
      </x:c>
      <x:c r="O24" s="3" t="str">
        <x:v>59d4870e-2207-56ca-a50b-e76ab86f6a53</x:v>
      </x:c>
    </x:row>
    <x:row r="25" ht="54" customHeight="1">
      <x:c r="A25" s="10" t="str">
        <x:v>Z4</x:v>
      </x:c>
      <x:c r="B25" s="10" t="str">
        <x:v>Zafran Security</x:v>
      </x:c>
      <x:c r="C25" s="10" t="str">
        <x:v>needs_review</x:v>
      </x:c>
      <x:c r="D25" s="20" t="n">
        <x:v>0.001627675</x:v>
      </x:c>
      <x:c r="E25" s="20"/>
      <x:c r="F25" s="20"/>
      <x:c r="G25" s="20"/>
      <x:c r="H25" s="10" t="n">
        <x:v>0</x:v>
      </x:c>
      <x:c r="I25" s="10" t="n">
        <x:v>0</x:v>
      </x:c>
      <x:c r="J25" s="10" t="str">
        <x:v>Not saved</x:v>
      </x:c>
      <x:c r="K25" s="10" t="n">
        <x:v>26</x:v>
      </x:c>
      <x:c r="L25" s="26" t="n">
        <x:v>0.704624</x:v>
      </x:c>
      <x:c r="M25" s="28" t="n">
        <x:v>46293.36922835648</x:v>
      </x:c>
      <x:c r="N25" s="28" t="n">
        <x:v>46293.370856030095</x:v>
      </x:c>
      <x:c r="O25" s="10" t="str">
        <x:v>59d4870e-2207-56ca-a50b-e76ab86f6a53</x:v>
      </x:c>
    </x:row>
    <x:row r="26" ht="54" customHeight="1">
      <x:c r="A26" s="3" t="str">
        <x:v>Z5</x:v>
      </x:c>
      <x:c r="B26" s="3" t="str">
        <x:v>Vari Kaur</x:v>
      </x:c>
      <x:c r="C26" s="3" t="str">
        <x:v>needs_review</x:v>
      </x:c>
      <x:c r="D26" s="19" t="n">
        <x:v>0.001657475451388889</x:v>
      </x:c>
      <x:c r="E26" s="19"/>
      <x:c r="F26" s="19"/>
      <x:c r="G26" s="19"/>
      <x:c r="H26" s="3" t="n">
        <x:v>0</x:v>
      </x:c>
      <x:c r="I26" s="3" t="n">
        <x:v>0</x:v>
      </x:c>
      <x:c r="J26" s="3" t="str">
        <x:v>Not saved</x:v>
      </x:c>
      <x:c r="K26" s="3" t="n">
        <x:v>22</x:v>
      </x:c>
      <x:c r="L26" s="25" t="n">
        <x:v>0.736717</x:v>
      </x:c>
      <x:c r="M26" s="27" t="n">
        <x:v>46293.39213855324</x:v>
      </x:c>
      <x:c r="N26" s="27" t="n">
        <x:v>46293.39379603009</x:v>
      </x:c>
      <x:c r="O26" s="3" t="str">
        <x:v>a909b721-e744-59b8-89de-7668baec343b</x:v>
      </x:c>
    </x:row>
    <x:row r="27" ht="54" customHeight="1">
      <x:c r="A27" s="10" t="str">
        <x:v>Z5</x:v>
      </x:c>
      <x:c r="B27" s="10" t="str">
        <x:v>Nick Fisher</x:v>
      </x:c>
      <x:c r="C27" s="10" t="str">
        <x:v>needs_review</x:v>
      </x:c>
      <x:c r="D27" s="20" t="n">
        <x:v>0.02543705539351852</x:v>
      </x:c>
      <x:c r="E27" s="20" t="n">
        <x:v>0.016891375972222223</x:v>
      </x:c>
      <x:c r="F27" s="20" t="n">
        <x:v>0.004934316631944444</x:v>
      </x:c>
      <x:c r="G27" s="20"/>
      <x:c r="H27" s="10" t="n">
        <x:v>37</x:v>
      </x:c>
      <x:c r="I27" s="10" t="n">
        <x:v>37</x:v>
      </x:c>
      <x:c r="J27" s="10" t="str">
        <x:v>Not saved</x:v>
      </x:c>
      <x:c r="K27" s="10" t="n">
        <x:v>89</x:v>
      </x:c>
      <x:c r="L27" s="26" t="n">
        <x:v>2.262775</x:v>
      </x:c>
      <x:c r="M27" s="28" t="n">
        <x:v>46293.39213418982</x:v>
      </x:c>
      <x:c r="N27" s="28" t="n">
        <x:v>46293.41757125</x:v>
      </x:c>
      <x:c r="O27" s="10" t="str">
        <x:v>436cb01b-602f-52fd-a83e-e1f08f8708fe</x:v>
      </x:c>
    </x:row>
    <x:row r="28" ht="54" customHeight="1">
      <x:c r="A28" s="3" t="str">
        <x:v>Z5</x:v>
      </x:c>
      <x:c r="B28" s="3" t="str">
        <x:v>Zafran Security</x:v>
      </x:c>
      <x:c r="C28" s="3" t="str">
        <x:v>needs_review</x:v>
      </x:c>
      <x:c r="D28" s="19" t="n">
        <x:v>0.014482020127314815</x:v>
      </x:c>
      <x:c r="E28" s="19" t="n">
        <x:v>0.011770511805555555</x:v>
      </x:c>
      <x:c r="F28" s="19" t="n">
        <x:v>0.001826041076388889</x:v>
      </x:c>
      <x:c r="G28" s="19"/>
      <x:c r="H28" s="3" t="n">
        <x:v>64</x:v>
      </x:c>
      <x:c r="I28" s="3" t="n">
        <x:v>64</x:v>
      </x:c>
      <x:c r="J28" s="3" t="str">
        <x:v>Not saved</x:v>
      </x:c>
      <x:c r="K28" s="3" t="n">
        <x:v>124</x:v>
      </x:c>
      <x:c r="L28" s="25" t="n">
        <x:v>4.954714</x:v>
      </x:c>
      <x:c r="M28" s="27" t="n">
        <x:v>46293.378438761574</x:v>
      </x:c>
      <x:c r="N28" s="27" t="n">
        <x:v>46293.39292077546</x:v>
      </x:c>
      <x:c r="O28" s="3" t="str">
        <x:v>59d4870e-2207-56ca-a50b-e76ab86f6a53</x:v>
      </x:c>
    </x:row>
    <x:row r="29" ht="54" customHeight="1">
      <x:c r="A29" s="10" t="str">
        <x:v>Z6</x:v>
      </x:c>
      <x:c r="B29" s="10" t="str">
        <x:v>Zafran Security</x:v>
      </x:c>
      <x:c r="C29" s="10" t="str">
        <x:v>needs_review</x:v>
      </x:c>
      <x:c r="D29" s="20" t="n">
        <x:v>0.010493027719907407</x:v>
      </x:c>
      <x:c r="E29" s="20" t="n">
        <x:v>0.005714940462962963</x:v>
      </x:c>
      <x:c r="F29" s="20" t="n">
        <x:v>0.0019973045949074073</x:v>
      </x:c>
      <x:c r="G29" s="20" t="n">
        <x:v>0.002155830162037037</x:v>
      </x:c>
      <x:c r="H29" s="10" t="n">
        <x:v>54</x:v>
      </x:c>
      <x:c r="I29" s="10" t="n">
        <x:v>54</x:v>
      </x:c>
      <x:c r="J29" s="10" t="str">
        <x:v>Saved</x:v>
      </x:c>
      <x:c r="K29" s="10" t="n">
        <x:v>79</x:v>
      </x:c>
      <x:c r="L29" s="26" t="n">
        <x:v>3.270071</x:v>
      </x:c>
      <x:c r="M29" s="28" t="n">
        <x:v>46293.40834320602</x:v>
      </x:c>
      <x:c r="N29" s="28" t="n">
        <x:v>46293.41883623842</x:v>
      </x:c>
      <x:c r="O29" s="10" t="str">
        <x:v>59d4870e-2207-56ca-a50b-e76ab86f6a53</x:v>
      </x:c>
    </x:row>
    <x:row r="30" ht="54" customHeight="1">
      <x:c r="A30" s="3" t="str">
        <x:v>Z6</x:v>
      </x:c>
      <x:c r="B30" s="3" t="str">
        <x:v>Nick Fisher</x:v>
      </x:c>
      <x:c r="C30" s="3" t="str">
        <x:v>needs_review</x:v>
      </x:c>
      <x:c r="D30" s="19" t="n">
        <x:v>0.010950602453703705</x:v>
      </x:c>
      <x:c r="E30" s="19" t="n">
        <x:v>0.00706084517361111</x:v>
      </x:c>
      <x:c r="F30" s="19" t="n">
        <x:v>0.002860982627314815</x:v>
      </x:c>
      <x:c r="G30" s="19"/>
      <x:c r="H30" s="3" t="n">
        <x:v>68</x:v>
      </x:c>
      <x:c r="I30" s="3" t="n">
        <x:v>68</x:v>
      </x:c>
      <x:c r="J30" s="3" t="str">
        <x:v>Not saved</x:v>
      </x:c>
      <x:c r="K30" s="3" t="n">
        <x:v>92</x:v>
      </x:c>
      <x:c r="L30" s="25" t="n">
        <x:v>4.16695</x:v>
      </x:c>
      <x:c r="M30" s="27" t="n">
        <x:v>46293.4161315625</x:v>
      </x:c>
      <x:c r="N30" s="27" t="n">
        <x:v>46293.42708217593</x:v>
      </x:c>
      <x:c r="O30" s="3" t="str">
        <x:v>41ba4d68-d1da-57fd-9163-a0ec041a44bd</x:v>
      </x:c>
    </x:row>
    <x:row r="31" ht="54" customHeight="1">
      <x:c r="A31" s="10" t="str">
        <x:v>Z6</x:v>
      </x:c>
      <x:c r="B31" s="10" t="str">
        <x:v>Vari Kaur</x:v>
      </x:c>
      <x:c r="C31" s="10" t="str">
        <x:v>needs_review</x:v>
      </x:c>
      <x:c r="D31" s="20" t="n">
        <x:v>0.01604837917824074</x:v>
      </x:c>
      <x:c r="E31" s="20" t="n">
        <x:v>0.009032712430555555</x:v>
      </x:c>
      <x:c r="F31" s="20" t="n">
        <x:v>0.002023377627314815</x:v>
      </x:c>
      <x:c r="G31" s="20"/>
      <x:c r="H31" s="10" t="n">
        <x:v>56</x:v>
      </x:c>
      <x:c r="I31" s="10" t="n">
        <x:v>56</x:v>
      </x:c>
      <x:c r="J31" s="10" t="str">
        <x:v>Not saved</x:v>
      </x:c>
      <x:c r="K31" s="10" t="n">
        <x:v>120</x:v>
      </x:c>
      <x:c r="L31" s="26" t="n">
        <x:v>4.962136</x:v>
      </x:c>
      <x:c r="M31" s="28" t="n">
        <x:v>46293.41613568287</x:v>
      </x:c>
      <x:c r="N31" s="28" t="n">
        <x:v>46293.4321840625</x:v>
      </x:c>
      <x:c r="O31" s="10" t="str">
        <x:v>92047fb7-01a5-5611-802e-c886da87eb6a</x:v>
      </x:c>
    </x:row>
  </x:sheetData>
  <x:mergeCells>
    <x:mergeCell ref="A1:O1"/>
    <x:mergeCell ref="A2:O3"/>
  </x:mergeCells>
  <x:pageMargins left="0.7" right="0.7" top="0.75" bottom="0.75" header="0.3" footer="0.3"/>
  <x:tableParts count="1">
    <x:tablePart xmlns:r="http://schemas.openxmlformats.org/officeDocument/2006/relationships" r:id="Ra6265689fa844a72"/>
  </x:tableParts>
</x:worksheet>
</file>

<file path=xl/worksheets/sheet4.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1" hidden="0" customWidth="1"/>
    <col min="2" max="2" width="42" hidden="0" customWidth="1"/>
    <col min="3" max="3" width="29" hidden="0" customWidth="1"/>
    <col min="4" max="4" width="84" hidden="0" customWidth="1"/>
    <col min="5" max="5" width="35" hidden="0" customWidth="1"/>
    <col min="6" max="6" width="16" hidden="0" customWidth="1"/>
    <col min="7" max="7" width="18" hidden="0" customWidth="1"/>
  </cols>
  <sheetData>
    <row r="1" ht="38" customHeight="1">
      <c r="A1" s="5" t="str">
        <v>What the models preserved, missed or distorted</v>
      </c>
      <c r="B1" s="5"/>
      <c r="C1" s="5"/>
      <c r="D1" s="5"/>
      <c r="E1" s="5"/>
      <c r="F1" s="5"/>
      <c r="G1" s="5"/>
    </row>
    <row r="2" ht="24" customHeight="1">
      <c r="A2" s="7" t="str">
        <v>20 Zafran probes plus Premier and incomplete-run assessments. These are targeted source-to-finding checks, not an exhaustive omission rate. A claim count is not a quality score. Exact quoted passages and source paths are in the linked evidence report.</v>
      </c>
      <c r="B2" s="7"/>
      <c r="C2" s="7"/>
      <c r="D2" s="7"/>
      <c r="E2" s="7"/>
      <c r="F2" s="7"/>
      <c r="G2" s="7"/>
    </row>
    <row r="3" ht="24" customHeight="1">
      <c r="A3" s="7"/>
      <c r="B3" s="7"/>
      <c r="C3" s="7"/>
      <c r="D3" s="7"/>
      <c r="E3" s="7"/>
      <c r="F3" s="7"/>
      <c r="G3" s="7"/>
    </row>
    <row r="4">
      <c r="A4" s="3"/>
      <c r="B4" s="3"/>
      <c r="C4" s="3"/>
      <c r="D4" s="3"/>
      <c r="E4" s="3"/>
      <c r="F4" s="3"/>
      <c r="G4" s="3"/>
    </row>
    <row r="5" ht="34" customHeight="1">
      <c r="A5" s="9" t="str">
        <v>Run</v>
      </c>
      <c r="B5" s="9" t="str">
        <v>Evidence / behavior</v>
      </c>
      <c r="C5" s="9" t="str">
        <v>Assessment</v>
      </c>
      <c r="D5" s="9" t="str">
        <v>Observed difference</v>
      </c>
      <c r="E5" s="9" t="str">
        <v>Finding references</v>
      </c>
      <c r="F5" s="9" t="str">
        <v>Acquired passage matches</v>
      </c>
      <c r="G5" s="9" t="str">
        <v>Evidence</v>
      </c>
    </row>
    <row r="6" ht="44" customHeight="1">
      <c r="A6" s="3" t="str">
        <v>Z1</v>
      </c>
      <c r="B6" s="3" t="str">
        <v>Vari’s own ABM-building and Sales-partnership words</v>
      </c>
      <c r="C6" s="3" t="str">
        <v>preserved</v>
      </c>
      <c r="D6" s="3" t="str">
        <v>Named speaker, date and end-to-end remit survive.</v>
      </c>
      <c r="E6" s="3" t="str">
        <v>account F041, vari F022, vari F023</v>
      </c>
      <c r="F6" s="3" t="n">
        <v>6</v>
      </c>
      <c r="G6" s="23" t="str">
        <v>Open evidence</v>
      </c>
    </row>
    <row r="7" ht="44" customHeight="1">
      <c r="A7" s="10" t="str">
        <v>Z6</v>
      </c>
      <c r="B7" s="10" t="str">
        <v>Vari’s own ABM-building and Sales-partnership words</v>
      </c>
      <c r="C7" s="10" t="str">
        <v>preserved</v>
      </c>
      <c r="D7" s="10" t="str">
        <v>Own words survive; account also ties them to seller relevance separately.</v>
      </c>
      <c r="E7" s="10" t="str">
        <v>account F046, vari F026</v>
      </c>
      <c r="F7" s="10" t="n">
        <v>6</v>
      </c>
      <c r="G7" s="24" t="str">
        <v>Open evidence</v>
      </c>
    </row>
    <row r="8" ht="44" customHeight="1">
      <c r="A8" s="3" t="str">
        <v>Z5</v>
      </c>
      <c r="B8" s="3" t="str">
        <v>Vari’s own ABM-building and Sales-partnership words</v>
      </c>
      <c r="C8" s="3" t="str">
        <v>preserved account only</v>
      </c>
      <c r="D8" s="3" t="str">
        <v>Account preserves statement; Vari has no completed person dossier.</v>
      </c>
      <c r="E8" s="3" t="str">
        <v>account F103</v>
      </c>
      <c r="F8" s="3" t="n">
        <v>5</v>
      </c>
      <c r="G8" s="23" t="str">
        <v>Open evidence</v>
      </c>
    </row>
    <row r="9" ht="44" customHeight="1">
      <c r="A9" s="10" t="str">
        <v>Z1</v>
      </c>
      <c r="B9" s="10" t="str">
        <v>Lean ABM team, HubSpot build and measurable outcomes</v>
      </c>
      <c r="C9" s="10" t="str">
        <v>preserved</v>
      </c>
      <c r="D9" s="10" t="str">
        <v>Separates remit, lean constraint and hands-on execution into useful units.</v>
      </c>
      <c r="E9" s="10" t="str">
        <v>account F030, account F031, account F032</v>
      </c>
      <c r="F9" s="10" t="n">
        <v>5</v>
      </c>
      <c r="G9" s="24" t="str">
        <v>Open evidence</v>
      </c>
    </row>
    <row r="10" ht="44" customHeight="1">
      <c r="A10" s="3" t="str">
        <v>Z6</v>
      </c>
      <c r="B10" s="3" t="str">
        <v>Lean ABM team, HubSpot build and measurable outcomes</v>
      </c>
      <c r="C10" s="3" t="str">
        <v>preserved bundled</v>
      </c>
      <c r="D10" s="3" t="str">
        <v>Detailed remit and execution retained; broad bundled role description.</v>
      </c>
      <c r="E10" s="3" t="str">
        <v>account F018, account F020</v>
      </c>
      <c r="F10" s="3" t="n">
        <v>6</v>
      </c>
      <c r="G10" s="23" t="str">
        <v>Open evidence</v>
      </c>
    </row>
    <row r="11" ht="44" customHeight="1">
      <c r="A11" s="10" t="str">
        <v>Z5</v>
      </c>
      <c r="B11" s="10" t="str">
        <v>Lean ABM team, HubSpot build and measurable outcomes</v>
      </c>
      <c r="C11" s="10" t="str">
        <v>preserved</v>
      </c>
      <c r="D11" s="10" t="str">
        <v>Rich employer wording; it must not be presented as Vari’s personal complaint.</v>
      </c>
      <c r="E11" s="10" t="str">
        <v>account F063, account F064, account F065, account F066</v>
      </c>
      <c r="F11" s="10" t="n">
        <v>4</v>
      </c>
      <c r="G11" s="24" t="str">
        <v>Open evidence</v>
      </c>
    </row>
    <row r="12" ht="44" customHeight="1">
      <c r="A12" s="3" t="str">
        <v>Z1</v>
      </c>
      <c r="B12" s="3" t="str">
        <v>Nick’s Monday report with five-tool workflow</v>
      </c>
      <c r="C12" s="3" t="str">
        <v>preserved</v>
      </c>
      <c r="D12" s="3" t="str">
        <v>Whole account-stage workflow and purpose retained.</v>
      </c>
      <c r="E12" s="3" t="str">
        <v>account F034, account F050</v>
      </c>
      <c r="F12" s="3" t="n">
        <v>3</v>
      </c>
      <c r="G12" s="23" t="str">
        <v>Open evidence</v>
      </c>
    </row>
    <row r="13" ht="54" customHeight="1">
      <c r="A13" s="10" t="str">
        <v>Z6</v>
      </c>
      <c r="B13" s="10" t="str">
        <v>Nick’s Monday report with five-tool workflow</v>
      </c>
      <c r="C13" s="10" t="str">
        <v>account acquisition gap recovered person</v>
      </c>
      <c r="D13" s="10" t="str">
        <v>The workflow was not found in account acquisition; Nick later acquires and retains it. This matters because initial account narrative depicts manual research.</v>
      </c>
      <c r="E13" s="10" t="str">
        <v>nick F034</v>
      </c>
      <c r="F13" s="10" t="n">
        <v>1</v>
      </c>
      <c r="G13" s="24" t="str">
        <v>Open evidence</v>
      </c>
    </row>
    <row r="14" ht="44" customHeight="1">
      <c r="A14" s="3" t="str">
        <v>Z5</v>
      </c>
      <c r="B14" s="3" t="str">
        <v>Nick’s Monday report with five-tool workflow</v>
      </c>
      <c r="C14" s="3" t="str">
        <v>preserved</v>
      </c>
      <c r="D14" s="3" t="str">
        <v>Account retains chain, Nick retains fuller first-person passage.</v>
      </c>
      <c r="E14" s="3" t="str">
        <v>account F081, nick F026</v>
      </c>
      <c r="F14" s="3" t="n">
        <v>3</v>
      </c>
      <c r="G14" s="23" t="str">
        <v>Open evidence</v>
      </c>
    </row>
    <row r="15" ht="44" customHeight="1">
      <c r="A15" s="10" t="str">
        <v>Z1</v>
      </c>
      <c r="B15" s="10" t="str">
        <v>AI-first GTM hiring: shipping real workflows</v>
      </c>
      <c r="C15" s="10" t="str">
        <v>preserved</v>
      </c>
      <c r="D15" s="10" t="str">
        <v>Verbatim distinctive phrase and builders’ mandate.</v>
      </c>
      <c r="E15" s="10" t="str">
        <v>account F043</v>
      </c>
      <c r="F15" s="10" t="n">
        <v>6</v>
      </c>
      <c r="G15" s="24" t="str">
        <v>Open evidence</v>
      </c>
    </row>
    <row r="16" ht="44" customHeight="1">
      <c r="A16" s="3" t="str">
        <v>Z6</v>
      </c>
      <c r="B16" s="3" t="str">
        <v>AI-first GTM hiring: shipping real workflows</v>
      </c>
      <c r="C16" s="3" t="str">
        <v>preserved</v>
      </c>
      <c r="D16" s="3" t="str">
        <v>Phrase survives, though account renders it mostly as a summary.</v>
      </c>
      <c r="E16" s="3" t="str">
        <v>account F031, nick F012</v>
      </c>
      <c r="F16" s="3" t="n">
        <v>4</v>
      </c>
      <c r="G16" s="23" t="str">
        <v>Open evidence</v>
      </c>
    </row>
    <row r="17" ht="44" customHeight="1">
      <c r="A17" s="10" t="str">
        <v>Z5</v>
      </c>
      <c r="B17" s="10" t="str">
        <v>AI-first GTM hiring: shipping real workflows</v>
      </c>
      <c r="C17" s="10" t="str">
        <v>preserved</v>
      </c>
      <c r="D17" s="10" t="str">
        <v>Verbatim concrete work survives in both entities.</v>
      </c>
      <c r="E17" s="10" t="str">
        <v>account F072, nick F004</v>
      </c>
      <c r="F17" s="10" t="n">
        <v>3</v>
      </c>
      <c r="G17" s="24" t="str">
        <v>Open evidence</v>
      </c>
    </row>
    <row r="18" ht="44" customHeight="1">
      <c r="A18" s="3" t="str">
        <v>Z1</v>
      </c>
      <c r="B18" s="3" t="str">
        <v>AI overwriting pipeline / prospect-blast warning</v>
      </c>
      <c r="C18" s="3" t="str">
        <v>account omission recovered person</v>
      </c>
      <c r="D18" s="3" t="str">
        <v>Account acquired but omitted; Nick quotes both concrete harms and attributes the relayed Lemkin practices.</v>
      </c>
      <c r="E18" s="3" t="str">
        <v>nick F025</v>
      </c>
      <c r="F18" s="3" t="n">
        <v>5</v>
      </c>
      <c r="G18" s="23" t="str">
        <v>Open evidence</v>
      </c>
    </row>
    <row r="19" ht="44" customHeight="1">
      <c r="A19" s="10" t="str">
        <v>Z6</v>
      </c>
      <c r="B19" s="10" t="str">
        <v>AI overwriting pipeline / prospect-blast warning</v>
      </c>
      <c r="C19" s="10" t="str">
        <v>partial recovery</v>
      </c>
      <c r="D19" s="10" t="str">
        <v>Account emphasizes data/context, Nick restores pipeline-overwrite warning; prospect-blast half is compressed away.</v>
      </c>
      <c r="E19" s="10" t="str">
        <v>account F043, nick F035</v>
      </c>
      <c r="F19" s="10" t="n">
        <v>4</v>
      </c>
      <c r="G19" s="24" t="str">
        <v>Open evidence</v>
      </c>
    </row>
    <row r="20" ht="44" customHeight="1">
      <c r="A20" s="3" t="str">
        <v>Z5</v>
      </c>
      <c r="B20" s="3" t="str">
        <v>AI overwriting pipeline / prospect-blast warning</v>
      </c>
      <c r="C20" s="3" t="str">
        <v>selection omission</v>
      </c>
      <c r="D20" s="3" t="str">
        <v>Both summaries preserve generic guardrails but lose concrete overwrite/prospect-blast language already acquired.</v>
      </c>
      <c r="E20" s="3" t="str">
        <v>account F101, nick F027</v>
      </c>
      <c r="F20" s="3" t="n">
        <v>5</v>
      </c>
      <c r="G20" s="23" t="str">
        <v>Open evidence</v>
      </c>
    </row>
    <row r="21" ht="44" customHeight="1">
      <c r="A21" s="10" t="str">
        <v>Z1</v>
      </c>
      <c r="B21" s="10" t="str">
        <v>Idea to working demo in hours</v>
      </c>
      <c r="C21" s="10" t="str">
        <v>preserved</v>
      </c>
      <c r="D21" s="10" t="str">
        <v>Account and person keep execution-speed specificity.</v>
      </c>
      <c r="E21" s="10" t="str">
        <v>account F071, nick F026</v>
      </c>
      <c r="F21" s="10" t="n">
        <v>3</v>
      </c>
      <c r="G21" s="24" t="str">
        <v>Open evidence</v>
      </c>
    </row>
    <row r="22" ht="44" customHeight="1">
      <c r="A22" s="3" t="str">
        <v>Z6</v>
      </c>
      <c r="B22" s="3" t="str">
        <v>Idea to working demo in hours</v>
      </c>
      <c r="C22" s="3" t="str">
        <v>account not preserved person preserved</v>
      </c>
      <c r="D22" s="3" t="str">
        <v>Nick keeps hours wording; absent from account dossier. Account acquisition of the exact passage not established by this scan.</v>
      </c>
      <c r="E22" s="3" t="str">
        <v>nick F040</v>
      </c>
      <c r="F22" s="3" t="n">
        <v>2</v>
      </c>
      <c r="G22" s="23" t="str">
        <v>Open evidence</v>
      </c>
    </row>
    <row r="23" ht="44" customHeight="1">
      <c r="A23" s="10" t="str">
        <v>Z5</v>
      </c>
      <c r="B23" s="10" t="str">
        <v>Idea to working demo in hours</v>
      </c>
      <c r="C23" s="10" t="str">
        <v>account compressed person recovered</v>
      </c>
      <c r="D23" s="10" t="str">
        <v>Account drops hours; Nick restores exact meaningful contrast.</v>
      </c>
      <c r="E23" s="10" t="str">
        <v>account F083, nick F028</v>
      </c>
      <c r="F23" s="10" t="n">
        <v>2</v>
      </c>
      <c r="G23" s="24" t="str">
        <v>Open evidence</v>
      </c>
    </row>
    <row r="24" ht="44" customHeight="1">
      <c r="A24" s="3" t="str">
        <v>Z1</v>
      </c>
      <c r="B24" s="3" t="str">
        <v>Nick’s record-store and comic-store marketing methods</v>
      </c>
      <c r="C24" s="3" t="str">
        <v>account omission recovered person</v>
      </c>
      <c r="D24" s="3" t="str">
        <v>Both distinct campaigns and results retained in Nick; account had acquired them but omitted.</v>
      </c>
      <c r="E24" s="3" t="str">
        <v>nick F031, nick F032</v>
      </c>
      <c r="F24" s="3" t="n">
        <v>6</v>
      </c>
      <c r="G24" s="23" t="str">
        <v>Open evidence</v>
      </c>
    </row>
    <row r="25" ht="44" customHeight="1">
      <c r="A25" s="10" t="str">
        <v>Z6</v>
      </c>
      <c r="B25" s="10" t="str">
        <v>Nick’s record-store and comic-store marketing methods</v>
      </c>
      <c r="C25" s="10" t="str">
        <v>partial</v>
      </c>
      <c r="D25" s="10" t="str">
        <v>Record-store/Black Hat 2024 survives; comic-store/Pokemon wording not found in acquired payload scan.</v>
      </c>
      <c r="E25" s="10" t="str">
        <v>account F048</v>
      </c>
      <c r="F25" s="10" t="n">
        <v>2</v>
      </c>
      <c r="G25" s="24" t="str">
        <v>Open evidence</v>
      </c>
    </row>
    <row r="26" ht="44" customHeight="1">
      <c r="A26" s="3" t="str">
        <v>Z5</v>
      </c>
      <c r="B26" s="3" t="str">
        <v>Nick’s record-store and comic-store marketing methods</v>
      </c>
      <c r="C26" s="3" t="str">
        <v>partial</v>
      </c>
      <c r="D26" s="3" t="str">
        <v>Record-store tactics retained; comic-store wording not found in acquired payload scan.</v>
      </c>
      <c r="E26" s="3" t="str">
        <v>nick F022</v>
      </c>
      <c r="F26" s="3" t="n">
        <v>2</v>
      </c>
      <c r="G26" s="23" t="str">
        <v>Open evidence</v>
      </c>
    </row>
    <row r="27" ht="44" customHeight="1">
      <c r="A27" s="10" t="str">
        <v>Z1</v>
      </c>
      <c r="B27" s="10" t="str">
        <v>Exposure Gateway and Zero Day Agent details</v>
      </c>
      <c r="C27" s="10" t="str">
        <v>preserved</v>
      </c>
      <c r="D27" s="10" t="str">
        <v>Named author, date, MCP client/control-plane purpose and response workflow retained.</v>
      </c>
      <c r="E27" s="10" t="str">
        <v>account F021, account F022</v>
      </c>
      <c r="F27" s="10" t="n">
        <v>2</v>
      </c>
      <c r="G27" s="24" t="str">
        <v>Open evidence</v>
      </c>
    </row>
    <row r="28" ht="54" customHeight="1">
      <c r="A28" s="3" t="str">
        <v>Z6</v>
      </c>
      <c r="B28" s="3" t="str">
        <v>Exposure Gateway and Zero Day Agent details</v>
      </c>
      <c r="C28" s="3" t="str">
        <v>selection gap</v>
      </c>
      <c r="D28" s="3" t="str">
        <v>Broad platform/OpenAI/Gartner retained, but no Gateway/Zero Day findings. Zero Day text is acquired in account deep; Gateway appears only in later person acquisition.</v>
      </c>
      <c r="E28" s="3" t="str">
        <v>account F013, account F014, account F015</v>
      </c>
      <c r="F28" s="3" t="n">
        <v>2</v>
      </c>
      <c r="G28" s="23" t="str">
        <v>Open evidence</v>
      </c>
    </row>
    <row r="29" ht="54" customHeight="1">
      <c r="A29" s="10" t="str">
        <v>Z5</v>
      </c>
      <c r="B29" s="10" t="str">
        <v>Exposure Gateway and Zero Day Agent details</v>
      </c>
      <c r="C29" s="10" t="str">
        <v>preserved but compressed</v>
      </c>
      <c r="D29" s="10" t="str">
        <v>More named launches (also AIR/OpenAI/Gartner), but Gateway/Zero Day descriptions are much thinner than Grok’s.</v>
      </c>
      <c r="E29" s="10" t="str">
        <v>account F023, account F024, account F025, account F026, account F027</v>
      </c>
      <c r="F29" s="10" t="n">
        <v>2</v>
      </c>
      <c r="G29" s="24" t="str">
        <v>Open evidence</v>
      </c>
    </row>
    <row r="30" ht="54" customHeight="1">
      <c r="A30" s="3" t="str">
        <v>Z1</v>
      </c>
      <c r="B30" s="3" t="str">
        <v>Funding versus revenue/ARR and adverse reporting</v>
      </c>
      <c r="C30" s="3" t="str">
        <v>preserved with overflag</v>
      </c>
      <c r="D30" s="3" t="str">
        <v>Official rounds and journalist estimates separated; some potential-conflict labels overstate differences between dated metrics.</v>
      </c>
      <c r="E30" s="3" t="str">
        <v>account F010, account F011, account F012, account F013, account F092</v>
      </c>
      <c r="F30" s="3" t="n">
        <v>4</v>
      </c>
      <c r="G30" s="23" t="str">
        <v>Open evidence</v>
      </c>
    </row>
    <row r="31" ht="44" customHeight="1">
      <c r="A31" s="10" t="str">
        <v>Z6</v>
      </c>
      <c r="B31" s="10" t="str">
        <v>Funding versus revenue/ARR and adverse reporting</v>
      </c>
      <c r="C31" s="10" t="str">
        <v>partial</v>
      </c>
      <c r="D31" s="10" t="str">
        <v>Rounds and unknown absolute ARR retained; later adverse/valuation context absent.</v>
      </c>
      <c r="E31" s="10" t="str">
        <v>account F008, account F009, account F010, account F053</v>
      </c>
      <c r="F31" s="10" t="n">
        <v>6</v>
      </c>
      <c r="G31" s="24" t="str">
        <v>Open evidence</v>
      </c>
    </row>
    <row r="32" ht="54" customHeight="1">
      <c r="A32" s="3" t="str">
        <v>Z5</v>
      </c>
      <c r="B32" s="3" t="str">
        <v>Funding versus revenue/ARR and adverse reporting</v>
      </c>
      <c r="C32" s="3" t="str">
        <v>preserved</v>
      </c>
      <c r="D32" s="3" t="str">
        <v>Funding and contrary acquisition reporting retained with attribution; F014 bundles events.</v>
      </c>
      <c r="E32" s="3" t="str">
        <v>account F010, account F011, account F012, account F014, account F121, account F122</v>
      </c>
      <c r="F32" s="3" t="n">
        <v>2</v>
      </c>
      <c r="G32" s="23" t="str">
        <v>Open evidence</v>
      </c>
    </row>
    <row r="33" ht="44" customHeight="1">
      <c r="A33" s="10" t="str">
        <v>Z1</v>
      </c>
      <c r="B33" s="10" t="str">
        <v>Snir departure versus stale CPO listing</v>
      </c>
      <c r="C33" s="10" t="str">
        <v>preserved</v>
      </c>
      <c r="D33" s="10" t="str">
        <v>Departure retained from secondary reporting.</v>
      </c>
      <c r="E33" s="10" t="str">
        <v>account F091</v>
      </c>
      <c r="F33" s="10" t="n">
        <v>2</v>
      </c>
      <c r="G33" s="24" t="str">
        <v>Open evidence</v>
      </c>
    </row>
    <row r="34" ht="44" customHeight="1">
      <c r="A34" s="3" t="str">
        <v>Z6</v>
      </c>
      <c r="B34" s="3" t="str">
        <v>Snir departure versus stale CPO listing</v>
      </c>
      <c r="C34" s="3" t="str">
        <v>acquisition gap and stale claim</v>
      </c>
      <c r="D34" s="3" t="str">
        <v>Departure wording not found in saved acquisition scan; current-CPO claim relies on older material, and no-distress conclusion overreaches.</v>
      </c>
      <c r="E34" s="3" t="str">
        <v>account F034, account F054</v>
      </c>
      <c r="F34" s="3" t="n">
        <v>0</v>
      </c>
      <c r="G34" s="23" t="str">
        <v>Open evidence</v>
      </c>
    </row>
    <row r="35" ht="44" customHeight="1">
      <c r="A35" s="10" t="str">
        <v>Z5</v>
      </c>
      <c r="B35" s="10" t="str">
        <v>Snir departure versus stale CPO listing</v>
      </c>
      <c r="C35" s="10" t="str">
        <v>preserved with qualification</v>
      </c>
      <c r="D35" s="10" t="str">
        <v>Retains stale company listing and dated CTech departure with qualifications and cross-reference.</v>
      </c>
      <c r="E35" s="10" t="str">
        <v>account F042, account F120</v>
      </c>
      <c r="F35" s="10" t="n">
        <v>1</v>
      </c>
      <c r="G35" s="24" t="str">
        <v>Open evidence</v>
      </c>
    </row>
    <row r="36" ht="44" customHeight="1">
      <c r="A36" s="3" t="str">
        <v>Z1</v>
      </c>
      <c r="B36" s="3" t="str">
        <v>Sanaz’s ambiguous “5X in new $$$$$” public wording</v>
      </c>
      <c r="C36" s="3" t="str">
        <v>selection omission</v>
      </c>
      <c r="D36" s="3" t="str">
        <v>Returned in account deep source material, not preserved in any authored finding; do not normalize this wording to ARR.</v>
      </c>
      <c r="E36" s="3" t="str"/>
      <c r="F36" s="3" t="n">
        <v>1</v>
      </c>
      <c r="G36" s="23" t="str">
        <v>Open evidence</v>
      </c>
    </row>
    <row r="37" ht="44" customHeight="1">
      <c r="A37" s="10" t="str">
        <v>Z6</v>
      </c>
      <c r="B37" s="10" t="str">
        <v>Sanaz’s ambiguous “5X in new $$$$$” public wording</v>
      </c>
      <c r="C37" s="10" t="str">
        <v>selection omission</v>
      </c>
      <c r="D37" s="10" t="str">
        <v>Returned in account deep source material, absent from authored findings.</v>
      </c>
      <c r="E37" s="10" t="str"/>
      <c r="F37" s="10" t="n">
        <v>1</v>
      </c>
      <c r="G37" s="24" t="str">
        <v>Open evidence</v>
      </c>
    </row>
    <row r="38" ht="44" customHeight="1">
      <c r="A38" s="3" t="str">
        <v>Z5</v>
      </c>
      <c r="B38" s="3" t="str">
        <v>Sanaz’s ambiguous “5X in new $$$$$” public wording</v>
      </c>
      <c r="C38" s="3" t="str">
        <v>selection omission</v>
      </c>
      <c r="D38" s="3" t="str">
        <v>Returned in account deep source material, absent from authored findings.</v>
      </c>
      <c r="E38" s="3" t="str"/>
      <c r="F38" s="3" t="n">
        <v>1</v>
      </c>
      <c r="G38" s="23" t="str">
        <v>Open evidence</v>
      </c>
    </row>
    <row r="39" ht="44" customHeight="1">
      <c r="A39" s="10" t="str">
        <v>Z1</v>
      </c>
      <c r="B39" s="10" t="str">
        <v>Career tools versus employer deployment</v>
      </c>
      <c r="C39" s="10" t="str">
        <v>careful distinction</v>
      </c>
      <c r="D39" s="10" t="str">
        <v>Explicitly distinguishes job requirement and personal tool experience from installed ABM tooling.</v>
      </c>
      <c r="E39" s="10" t="str">
        <v>account F051, account F052, account F053, vari F004</v>
      </c>
      <c r="F39" s="10" t="n">
        <v>6</v>
      </c>
      <c r="G39" s="24" t="str">
        <v>Open evidence</v>
      </c>
    </row>
    <row r="40" ht="44" customHeight="1">
      <c r="A40" s="3" t="str">
        <v>Z6</v>
      </c>
      <c r="B40" s="3" t="str">
        <v>Career tools versus employer deployment</v>
      </c>
      <c r="C40" s="3" t="str">
        <v>careful distinction</v>
      </c>
      <c r="D40" s="3" t="str">
        <v>Personal career-wide tools separated from employer-specific work; narrative preserves installed-platform uncertainty.</v>
      </c>
      <c r="E40" s="3" t="str">
        <v>account F028, account F029, vari F041, vari F043</v>
      </c>
      <c r="F40" s="3" t="n">
        <v>6</v>
      </c>
      <c r="G40" s="23" t="str">
        <v>Open evidence</v>
      </c>
    </row>
    <row r="41" ht="44" customHeight="1">
      <c r="A41" s="10" t="str">
        <v>Z5</v>
      </c>
      <c r="B41" s="10" t="str">
        <v>Career tools versus employer deployment</v>
      </c>
      <c r="C41" s="10" t="str">
        <v>mixed</v>
      </c>
      <c r="D41" s="10" t="str">
        <v>Career list correctly qualified; broad detected-stack claim mixes usage with requirements.</v>
      </c>
      <c r="E41" s="10" t="str">
        <v>account F084, account F085</v>
      </c>
      <c r="F41" s="10" t="n">
        <v>6</v>
      </c>
      <c r="G41" s="24" t="str">
        <v>Open evidence</v>
      </c>
    </row>
    <row r="42" ht="44" customHeight="1">
      <c r="A42" s="3" t="str">
        <v>Z1</v>
      </c>
      <c r="B42" s="3" t="str">
        <v>Cocktail Chemistry, book and audience feedback</v>
      </c>
      <c r="C42" s="3" t="str">
        <v>rich preservation</v>
      </c>
      <c r="D42" s="3" t="str">
        <v>Own book/hobby announcement, audience lesson, publisher biography and first-person kitchen/hobby appeal; stale location qualified.</v>
      </c>
      <c r="E42" s="3" t="str">
        <v>nick F034, nick F035, nick F036, nick F037</v>
      </c>
      <c r="F42" s="3" t="n">
        <v>2</v>
      </c>
      <c r="G42" s="23" t="str">
        <v>Open evidence</v>
      </c>
    </row>
    <row r="43" ht="44" customHeight="1">
      <c r="A43" s="10" t="str">
        <v>Z6</v>
      </c>
      <c r="B43" s="10" t="str">
        <v>Cocktail Chemistry, book and audience feedback</v>
      </c>
      <c r="C43" s="10" t="str">
        <v>rich preservation</v>
      </c>
      <c r="D43" s="10" t="str">
        <v>Audience-feedback insight separated from book/channel and podcast origin evidence.</v>
      </c>
      <c r="E43" s="10" t="str">
        <v>nick F050, nick F051, nick F052, nick F053</v>
      </c>
      <c r="F43" s="10" t="n">
        <v>4</v>
      </c>
      <c r="G43" s="24" t="str">
        <v>Open evidence</v>
      </c>
    </row>
    <row r="44" ht="44" customHeight="1">
      <c r="A44" s="3" t="str">
        <v>Z5</v>
      </c>
      <c r="B44" s="3" t="str">
        <v>Cocktail Chemistry, book and audience feedback</v>
      </c>
      <c r="C44" s="3" t="str">
        <v>preserved bundled</v>
      </c>
      <c r="D44" s="3" t="str">
        <v>Long first-person book/hobby/audience passage preserved as one broad finding.</v>
      </c>
      <c r="E44" s="3" t="str">
        <v>nick F016</v>
      </c>
      <c r="F44" s="3" t="n">
        <v>1</v>
      </c>
      <c r="G44" s="23" t="str">
        <v>Open evidence</v>
      </c>
    </row>
    <row r="45" ht="44" customHeight="1">
      <c r="A45" s="10" t="str">
        <v>Z1</v>
      </c>
      <c r="B45" s="10" t="str">
        <v>CocktailGPT project follow-through</v>
      </c>
      <c r="C45" s="10" t="str">
        <v>limited</v>
      </c>
      <c r="D45" s="10" t="str">
        <v>Typed project listing only, explicitly no richer public write-up.</v>
      </c>
      <c r="E45" s="10" t="str">
        <v>nick F039</v>
      </c>
      <c r="F45" s="10" t="n">
        <v>4</v>
      </c>
      <c r="G45" s="24" t="str">
        <v>Open evidence</v>
      </c>
    </row>
    <row r="46" ht="44" customHeight="1">
      <c r="A46" s="3" t="str">
        <v>Z6</v>
      </c>
      <c r="B46" s="3" t="str">
        <v>CocktailGPT project follow-through</v>
      </c>
      <c r="C46" s="3" t="str">
        <v>followed</v>
      </c>
      <c r="D46" s="3" t="str">
        <v>Project description plus actual site fetch and its limited current state; does not invent capabilities.</v>
      </c>
      <c r="E46" s="3" t="str">
        <v>nick F054, nick F055</v>
      </c>
      <c r="F46" s="3" t="n">
        <v>4</v>
      </c>
      <c r="G46" s="23" t="str">
        <v>Open evidence</v>
      </c>
    </row>
    <row r="47" ht="44" customHeight="1">
      <c r="A47" s="10" t="str">
        <v>Z5</v>
      </c>
      <c r="B47" s="10" t="str">
        <v>CocktailGPT project follow-through</v>
      </c>
      <c r="C47" s="10" t="str">
        <v>preserved without followthrough</v>
      </c>
      <c r="D47" s="10" t="str">
        <v>Profile description and URL preserved, no equivalent project site inspection.</v>
      </c>
      <c r="E47" s="10" t="str">
        <v>nick F017</v>
      </c>
      <c r="F47" s="10" t="n">
        <v>3</v>
      </c>
      <c r="G47" s="24" t="str">
        <v>Open evidence</v>
      </c>
    </row>
    <row r="48" ht="44" customHeight="1">
      <c r="A48" s="3" t="str">
        <v>Z1</v>
      </c>
      <c r="B48" s="3" t="str">
        <v>Nick’s authored PMM principles and credibility deck</v>
      </c>
      <c r="C48" s="3" t="str">
        <v>acquisition gap</v>
      </c>
      <c r="D48" s="3" t="str">
        <v>Exact substantive article/deck passages not found in acquired payload scan.</v>
      </c>
      <c r="E48" s="3" t="str"/>
      <c r="F48" s="3" t="n">
        <v>0</v>
      </c>
      <c r="G48" s="23" t="str">
        <v>Open evidence</v>
      </c>
    </row>
    <row r="49" ht="44" customHeight="1">
      <c r="A49" s="10" t="str">
        <v>Z6</v>
      </c>
      <c r="B49" s="10" t="str">
        <v>Nick’s authored PMM principles and credibility deck</v>
      </c>
      <c r="C49" s="10" t="str">
        <v>distinctive strength</v>
      </c>
      <c r="D49" s="10" t="str">
        <v>Followed old authored article/deck and preserved empathy, storytelling, technical curiosity, credibility and channel tactics.</v>
      </c>
      <c r="E49" s="10" t="str">
        <v>nick F044, nick F045, nick F046, nick F047</v>
      </c>
      <c r="F49" s="10" t="n">
        <v>2</v>
      </c>
      <c r="G49" s="24" t="str">
        <v>Open evidence</v>
      </c>
    </row>
    <row r="50" ht="44" customHeight="1">
      <c r="A50" s="3" t="str">
        <v>Z5</v>
      </c>
      <c r="B50" s="3" t="str">
        <v>Nick’s authored PMM principles and credibility deck</v>
      </c>
      <c r="C50" s="3" t="str">
        <v>lead only</v>
      </c>
      <c r="D50" s="3" t="str">
        <v>Publication titles recorded; substantive article/deck passages not found in acquired payload scan.</v>
      </c>
      <c r="E50" s="3" t="str">
        <v>nick F024</v>
      </c>
      <c r="F50" s="3" t="n">
        <v>0</v>
      </c>
      <c r="G50" s="23" t="str">
        <v>Open evidence</v>
      </c>
    </row>
    <row r="51" ht="44" customHeight="1">
      <c r="A51" s="10" t="str">
        <v>Z1</v>
      </c>
      <c r="B51" s="10" t="str">
        <v>Nick’s ISMG interview: actual speech versus listing</v>
      </c>
      <c r="C51" s="10" t="str">
        <v>transcript preserved</v>
      </c>
      <c r="D51" s="10" t="str">
        <v>Actual Deepgram transcript; host/speaker distinction, historical role and ASR caveat retained.</v>
      </c>
      <c r="E51" s="10" t="str">
        <v>nick F040, nick F041, nick F042, nick F043</v>
      </c>
      <c r="F51" s="10" t="n">
        <v>1</v>
      </c>
      <c r="G51" s="24" t="str">
        <v>Open evidence</v>
      </c>
    </row>
    <row r="52" ht="44" customHeight="1">
      <c r="A52" s="3" t="str">
        <v>Z6</v>
      </c>
      <c r="B52" s="3" t="str">
        <v>Nick’s ISMG interview: actual speech versus listing</v>
      </c>
      <c r="C52" s="3" t="str">
        <v>listing only</v>
      </c>
      <c r="D52" s="3" t="str">
        <v>Interview/webinar metadata, no speech-derived findings; media resolution refused, so runtime/provider availability confounds the gap.</v>
      </c>
      <c r="E52" s="3" t="str">
        <v>nick F056, nick F057</v>
      </c>
      <c r="F52" s="3" t="n">
        <v>2</v>
      </c>
      <c r="G52" s="23" t="str">
        <v>Open evidence</v>
      </c>
    </row>
    <row r="53" ht="44" customHeight="1">
      <c r="A53" s="10" t="str">
        <v>Z5</v>
      </c>
      <c r="B53" s="10" t="str">
        <v>Nick’s ISMG interview: actual speech versus listing</v>
      </c>
      <c r="C53" s="10" t="str">
        <v>listing only</v>
      </c>
      <c r="D53" s="10" t="str">
        <v>Interview title/date only; no transcription call.</v>
      </c>
      <c r="E53" s="10" t="str">
        <v>nick F023</v>
      </c>
      <c r="F53" s="10" t="n">
        <v>2</v>
      </c>
      <c r="G53" s="24" t="str">
        <v>Open evidence</v>
      </c>
    </row>
    <row r="54" ht="44" customHeight="1">
      <c r="A54" s="3" t="str">
        <v>Z1</v>
      </c>
      <c r="B54" s="3" t="str">
        <v>Vari’s employer-specific Salesforce–HubSpot work</v>
      </c>
      <c r="C54" s="3" t="str">
        <v>preserved with uncertainty</v>
      </c>
      <c r="D54" s="3" t="str">
        <v>Exact integration claim and separate truncated pipeline metric; does not invent missing endpoint.</v>
      </c>
      <c r="E54" s="3" t="str">
        <v>vari F009, vari F010, vari F011</v>
      </c>
      <c r="F54" s="3" t="n">
        <v>6</v>
      </c>
      <c r="G54" s="23" t="str">
        <v>Open evidence</v>
      </c>
    </row>
    <row r="55" ht="44" customHeight="1">
      <c r="A55" s="10" t="str">
        <v>Z6</v>
      </c>
      <c r="B55" s="10" t="str">
        <v>Vari’s employer-specific Salesforce–HubSpot work</v>
      </c>
      <c r="C55" s="10" t="str">
        <v>preserved</v>
      </c>
      <c r="D55" s="10" t="str">
        <v>Integration and prior-employer tooling retained with attribution; not asserted as Zafran stack.</v>
      </c>
      <c r="E55" s="10" t="str">
        <v>vari F009, vari F040, vari F041</v>
      </c>
      <c r="F55" s="10" t="n">
        <v>6</v>
      </c>
      <c r="G55" s="24" t="str">
        <v>Open evidence</v>
      </c>
    </row>
    <row r="56" ht="44" customHeight="1">
      <c r="A56" s="3" t="str">
        <v>Z5</v>
      </c>
      <c r="B56" s="3" t="str">
        <v>Vari’s employer-specific Salesforce–HubSpot work</v>
      </c>
      <c r="C56" s="3" t="str">
        <v>uncompleted</v>
      </c>
      <c r="D56" s="3" t="str">
        <v>No Vari dossier: cannot grade selection or claim quality. Preliminary sources exist.</v>
      </c>
      <c r="E56" s="3" t="str"/>
      <c r="F56" s="3" t="n">
        <v>6</v>
      </c>
      <c r="G56" s="23" t="str">
        <v>Open evidence</v>
      </c>
    </row>
    <row r="57" ht="44" customHeight="1">
      <c r="A57" s="10" t="str">
        <v>Z1</v>
      </c>
      <c r="B57" s="10" t="str">
        <v>Vari’s credentials and thin personal footprint</v>
      </c>
      <c r="C57" s="10" t="str">
        <v>profile preserved</v>
      </c>
      <c r="D57" s="10" t="str">
        <v>Credentials from profile, uncertain board/GitHub/name matches qualified instead of manufactured hobbies.</v>
      </c>
      <c r="E57" s="10" t="str">
        <v>vari F019, vari F020, vari F035, vari F037, vari F038</v>
      </c>
      <c r="F57" s="10" t="n">
        <v>4</v>
      </c>
      <c r="G57" s="24" t="str">
        <v>Open evidence</v>
      </c>
    </row>
    <row r="58" ht="54" customHeight="1">
      <c r="A58" s="3" t="str">
        <v>Z6</v>
      </c>
      <c r="B58" s="3" t="str">
        <v>Vari’s credentials and thin personal footprint</v>
      </c>
      <c r="C58" s="3" t="str">
        <v>direct credential followup</v>
      </c>
      <c r="D58" s="3" t="str">
        <v>Visited validation pages; handles overlapping dates/stale profile; avoids borrowing namesake personal life, though audit exclusions become findings.</v>
      </c>
      <c r="E58" s="3" t="str">
        <v>vari F019, vari F020, vari F048, vari F050, vari F055, vari F056</v>
      </c>
      <c r="F58" s="3" t="n">
        <v>6</v>
      </c>
      <c r="G58" s="23" t="str">
        <v>Open evidence</v>
      </c>
    </row>
    <row r="59" ht="44" customHeight="1">
      <c r="A59" s="10" t="str">
        <v>Z5</v>
      </c>
      <c r="B59" s="10" t="str">
        <v>Vari’s credentials and thin personal footprint</v>
      </c>
      <c r="C59" s="10" t="str">
        <v>uncompleted</v>
      </c>
      <c r="D59" s="10" t="str">
        <v>No completed person dossier.</v>
      </c>
      <c r="E59" s="10" t="str"/>
      <c r="F59" s="10" t="n">
        <v>1</v>
      </c>
      <c r="G59" s="24" t="str">
        <v>Open evidence</v>
      </c>
    </row>
    <row r="60" ht="68" customHeight="1">
      <c r="A60" s="3" t="str">
        <v>Z1</v>
      </c>
      <c r="B60" s="3" t="str">
        <v>Wrong entity, research bookkeeping and bundling</v>
      </c>
      <c r="C60" s="3" t="str">
        <v>defects</v>
      </c>
      <c r="D60" s="3" t="str">
        <v>Time-window/repeated-summary research notes promoted to claims; other-person/employer context enters person dossiers; independent leaders/events bundled.</v>
      </c>
      <c r="E60" s="3" t="str">
        <v>account F080, account F081, account F100, account F101, nick F029, vari F028, vari F036, vari F038</v>
      </c>
      <c r="F60" s="3" t="n">
        <v>1</v>
      </c>
      <c r="G60" s="23" t="str">
        <v>Open evidence</v>
      </c>
    </row>
    <row r="61" ht="68" customHeight="1">
      <c r="A61" s="10" t="str">
        <v>Z6</v>
      </c>
      <c r="B61" s="10" t="str">
        <v>Wrong entity, research bookkeeping and bundling</v>
      </c>
      <c r="C61" s="10" t="str">
        <v>defects</v>
      </c>
      <c r="D61" s="10" t="str">
        <v>Hiring→no-retrenchment inference leaks; audit/non-appearance notes and colleague context enter claims; developer namesake exclusion is too certain from profession alone.</v>
      </c>
      <c r="E61" s="10" t="str">
        <v>account F054, nick F015, nick F049, nick F058, nick F059, nick F061, nick F066, vari F033, vari F056</v>
      </c>
      <c r="F61" s="10" t="n">
        <v>2</v>
      </c>
      <c r="G61" s="24" t="str">
        <v>Open evidence</v>
      </c>
    </row>
    <row r="62" ht="54" customHeight="1">
      <c r="A62" s="3" t="str">
        <v>Z5</v>
      </c>
      <c r="B62" s="3" t="str">
        <v>Wrong entity, research bookkeeping and bundling</v>
      </c>
      <c r="C62" s="3" t="str">
        <v>defects</v>
      </c>
      <c r="D62" s="3" t="str">
        <v>Unsupported org-chart reconstruction and mixed stack certainty; Vari statement in Nick dossier. Three explicit wrong-entity records otherwise help preserve identity boundary.</v>
      </c>
      <c r="E62" s="3" t="str">
        <v>account F001, account F080, account F084, nick F006, nick F034, nick F035, nick F036</v>
      </c>
      <c r="F62" s="3" t="n">
        <v>0</v>
      </c>
      <c r="G62" s="23" t="str">
        <v>Open evidence</v>
      </c>
    </row>
    <row r="63" ht="44" customHeight="1">
      <c r="A63" s="10" t="str">
        <v>Z1</v>
      </c>
      <c r="B63" s="10" t="str">
        <v>Initial narrative usefulness and fidelity</v>
      </c>
      <c r="C63" s="10" t="str">
        <v>published account and people</v>
      </c>
      <c r="D63" s="10" t="str">
        <v>All initial pages exist; rich direct quotes, caveats and concrete next conversation, but verbose and exposes Tier-1 Q1/Q2 scoring terminology.</v>
      </c>
      <c r="E63" s="10" t="str">
        <v>account F034, nick F025</v>
      </c>
      <c r="F63" s="10" t="n">
        <v>0</v>
      </c>
      <c r="G63" s="24" t="str">
        <v>Open evidence</v>
      </c>
    </row>
    <row r="64" ht="54" customHeight="1">
      <c r="A64" s="3" t="str">
        <v>Z6</v>
      </c>
      <c r="B64" s="3" t="str">
        <v>Initial narrative usefulness and fidelity</v>
      </c>
      <c r="C64" s="3" t="str">
        <v>published account only</v>
      </c>
      <c r="D64" s="3" t="str">
        <v>Account page concise but removed quote punctuation/condensed statements, exposes internal scoring, and depicts BDR research as manual despite later evidence of automation. Contact narratives were not published.</v>
      </c>
      <c r="E64" s="3" t="str">
        <v>account F043, account F046</v>
      </c>
      <c r="F64" s="3" t="n">
        <v>0</v>
      </c>
      <c r="G64" s="23" t="str">
        <v>Open evidence</v>
      </c>
    </row>
    <row r="65" ht="44" customHeight="1">
      <c r="A65" s="10" t="str">
        <v>Z5</v>
      </c>
      <c r="B65" s="10" t="str">
        <v>Initial narrative usefulness and fidelity</v>
      </c>
      <c r="C65" s="10" t="str">
        <v>not generated</v>
      </c>
      <c r="D65" s="10" t="str">
        <v>No narrative stored; this is a completion/runtime failure, not a poor prose sample.</v>
      </c>
      <c r="E65" s="10" t="str"/>
      <c r="F65" s="10" t="n">
        <v>0</v>
      </c>
      <c r="G65" s="24" t="str">
        <v>Open evidence</v>
      </c>
    </row>
    <row r="66" ht="54" customHeight="1">
      <c r="A66" s="3" t="str">
        <v>P1</v>
      </c>
      <c r="B66" s="3" t="str">
        <v>Operating voice</v>
      </c>
      <c r="C66" s="3" t="str">
        <v>Strong baseline</v>
      </c>
      <c r="D66" s="3" t="str">
        <v>Initial account preserved MedEvolve cash/time/visibility statements; Todd expands collections, physician reporting and reimbursement. Some company and other-person content enters Todd claims.</v>
      </c>
      <c r="E66" s="3" t="str">
        <v>Initial 52 account; Todd 37</v>
      </c>
      <c r="F66" s="3"/>
      <c r="G66" s="23" t="str">
        <v>Open evidence</v>
      </c>
    </row>
    <row r="67" ht="54" customHeight="1">
      <c r="A67" s="10" t="str">
        <v>P2</v>
      </c>
      <c r="B67" s="10" t="str">
        <v>Executive public voice</v>
      </c>
      <c r="C67" s="10" t="str">
        <v>Shallow account selection</v>
      </c>
      <c r="D67" s="10" t="str">
        <v>Useful intake, referral and Open Access flow; MedEvolve material not developed into strong attributed operating voice. Only 19 account findings; Beth unfinished.</v>
      </c>
      <c r="E67" s="10" t="str">
        <v>Account only</v>
      </c>
      <c r="F67" s="10"/>
      <c r="G67" s="24" t="str">
        <v>Open evidence</v>
      </c>
    </row>
    <row r="68" ht="54" customHeight="1">
      <c r="A68" s="3" t="str">
        <v>P3</v>
      </c>
      <c r="B68" s="3" t="str">
        <v>Executive public voice</v>
      </c>
      <c r="C68" s="3" t="str">
        <v>Returned but omitted</v>
      </c>
      <c r="D68" s="3" t="str">
        <v>MedEvolve Todd excerpt was retrieved but missing from account dossier and account narrative. Greene historical quote survived, often via Exa-report reference.</v>
      </c>
      <c r="E68" s="3" t="str">
        <v>Account F031/F071 are research gaps</v>
      </c>
      <c r="F68" s="3"/>
      <c r="G68" s="23" t="str">
        <v>Open evidence</v>
      </c>
    </row>
    <row r="69" ht="44" customHeight="1">
      <c r="A69" s="10" t="str">
        <v>P3</v>
      </c>
      <c r="B69" s="10" t="str">
        <v>Recent hiring and patient experience</v>
      </c>
      <c r="C69" s="10" t="str">
        <v>Distinct discovery strength</v>
      </c>
      <c r="D69" s="10" t="str">
        <v>Three summer-2026 postings and one qualified patient-reminder/portal anecdote survived; not evidence of current vacancies or systemic failure.</v>
      </c>
      <c r="E69" s="10" t="str">
        <v>Account F030/F062</v>
      </c>
      <c r="F69" s="10"/>
      <c r="G69" s="24" t="str">
        <v>Open evidence</v>
      </c>
    </row>
    <row r="70" ht="54" customHeight="1">
      <c r="A70" s="3" t="str">
        <v>P3</v>
      </c>
      <c r="B70" s="3" t="str">
        <v>Beth depth and scope</v>
      </c>
      <c r="C70" s="3" t="str">
        <v>Profile depth; limited own voice</v>
      </c>
      <c r="D70" s="3" t="str">
        <v>Preserves 18 entities, 100+ providers, 15 physicians/45 FTEs and endoscopy experience. No independent long-form voice or hobbies established. Employer/colleague facts and duplicate summaries remain.</v>
      </c>
      <c r="E70" s="3" t="str">
        <v>Beth 19 findings</v>
      </c>
      <c r="F70" s="3"/>
      <c r="G70" s="23" t="str">
        <v>Open evidence</v>
      </c>
    </row>
    <row r="71" ht="54" customHeight="1">
      <c r="A71" s="10" t="str">
        <v>P4</v>
      </c>
      <c r="B71" s="10" t="str">
        <v>Executive public voice</v>
      </c>
      <c r="C71" s="10" t="str">
        <v>Strong retention</v>
      </c>
      <c r="D71" s="10" t="str">
        <v>Todd MedEvolve analytics, collection metrics, Medicare and recruiting details retained with direct source links. His person dossier contains six substantial attributed passages.</v>
      </c>
      <c r="E71" s="10" t="str">
        <v>Account F060–63; Todd F018–23</v>
      </c>
      <c r="F71" s="10"/>
      <c r="G71" s="24" t="str">
        <v>Open evidence</v>
      </c>
    </row>
    <row r="72" ht="44" customHeight="1">
      <c r="A72" s="3" t="str">
        <v>P4</v>
      </c>
      <c r="B72" s="3" t="str">
        <v>External record abstraction</v>
      </c>
      <c r="C72" s="3" t="str">
        <v>Useful new lead</v>
      </c>
      <c r="D72" s="3" t="str">
        <v>Sherill Albert profile describes extracting outside records into new-patient EMR; affiliation/date uncertainty appropriately retained.</v>
      </c>
      <c r="E72" s="3" t="str">
        <v>Account F064</v>
      </c>
      <c r="F72" s="3"/>
      <c r="G72" s="23" t="str">
        <v>Open evidence</v>
      </c>
    </row>
    <row r="73" ht="54" customHeight="1">
      <c r="A73" s="10" t="str">
        <v>P4</v>
      </c>
      <c r="B73" s="10" t="str">
        <v>Conflicts and granularity</v>
      </c>
      <c r="C73" s="10" t="str">
        <v>Overclassification / peripheral detail</v>
      </c>
      <c r="D73" s="10" t="str">
        <v>21 account potential-conflict tags include compatible property dimensions, plan/completion chronology and different role titles; excessive historical property coverage.</v>
      </c>
      <c r="E73" s="10" t="str">
        <v>Account F012–20/F013</v>
      </c>
      <c r="F73" s="10"/>
      <c r="G73" s="24" t="str">
        <v>Open evidence</v>
      </c>
    </row>
    <row r="74" ht="44" customHeight="1">
      <c r="A74" s="3" t="str">
        <v>P4</v>
      </c>
      <c r="B74" s="3" t="str">
        <v>Recent hiring and patient experience</v>
      </c>
      <c r="C74" s="3" t="str">
        <v>Discovery gap</v>
      </c>
      <c r="D74" s="3" t="str">
        <v>Equivalent summer scheduling/prior-auth jobs and seven-reminder anecdote not found in acquired account phrase scan.</v>
      </c>
      <c r="E74" s="3" t="str">
        <v>Not proof absent from public web</v>
      </c>
      <c r="F74" s="3"/>
      <c r="G74" s="23" t="str">
        <v>Open evidence</v>
      </c>
    </row>
    <row r="75" ht="54" customHeight="1">
      <c r="A75" s="10" t="str">
        <v>P5</v>
      </c>
      <c r="B75" s="10" t="str">
        <v>Executive public voice</v>
      </c>
      <c r="C75" s="10" t="str">
        <v>Improved account retention</v>
      </c>
      <c r="D75" s="10" t="str">
        <v>Account preserved MedEvolve operational voice in about 7m31s. Better account evidence than Muse high, but different live sources and runtime mean effort alone is not proven cause.</v>
      </c>
      <c r="E75" s="10" t="str">
        <v>30 account findings</v>
      </c>
      <c r="F75" s="10"/>
      <c r="G75" s="24" t="str">
        <v>Open evidence</v>
      </c>
    </row>
    <row r="76" ht="44" customHeight="1">
      <c r="A76" s="3" t="str">
        <v>P5</v>
      </c>
      <c r="B76" s="3" t="str">
        <v>Person completion</v>
      </c>
      <c r="C76" s="3" t="str">
        <v>Not evaluable</v>
      </c>
      <c r="D76" s="3" t="str">
        <v>Database storage failure stopped Todd before authored JSON. No complete person narrative to compare.</v>
      </c>
      <c r="E76" s="3" t="str">
        <v>Not a model-quality failure</v>
      </c>
      <c r="F76" s="3"/>
      <c r="G76" s="23" t="str">
        <v>Open evidence</v>
      </c>
    </row>
    <row r="77" ht="54" customHeight="1">
      <c r="A77" s="10" t="str">
        <v>P1 / P3 / P4 / P5</v>
      </c>
      <c r="B77" s="10" t="str">
        <v>Narrative versus source fidelity</v>
      </c>
      <c r="C77" s="10" t="str">
        <v>Shared issues remain</v>
      </c>
      <c r="D77" s="10" t="str">
        <v>Research gaps become supported observations, some independent facts bundled, ownership leaks and public statements compressed. Valid import does not establish semantic quality.</v>
      </c>
      <c r="E77" s="10" t="str">
        <v>See detailed Premier review</v>
      </c>
      <c r="F77" s="10"/>
      <c r="G77" s="24" t="str">
        <v>Open evidence</v>
      </c>
    </row>
    <row r="78" ht="54" customHeight="1">
      <c r="A78" s="3" t="str">
        <v>Z2</v>
      </c>
      <c r="B78" s="3" t="str">
        <v>Grok 4.7 medium partial draft</v>
      </c>
      <c r="C78" s="3" t="str">
        <v>Promising but incomplete</v>
      </c>
      <c r="D78" s="3" t="str">
        <v>Strong ABM/BDR, Outreach and named public statements in 30 draft findings; provider capacity ended generation before final review. Cannot compare as finished quality.</v>
      </c>
      <c r="E78" s="3" t="str">
        <v>4 draft sections; no import</v>
      </c>
      <c r="F78" s="3"/>
      <c r="G78" s="23" t="str">
        <v>Open evidence</v>
      </c>
    </row>
    <row r="79" ht="54" customHeight="1">
      <c r="A79" s="10" t="str">
        <v>Z3 / Z4</v>
      </c>
      <c r="B79" s="10" t="str">
        <v>GLM finished output</v>
      </c>
      <c r="C79" s="10" t="str">
        <v>Not evaluable</v>
      </c>
      <c r="D79" s="10" t="str">
        <v>Sources and Exa report exist; researcher never completed structured dossier. Untouched retry hit output-token truncation and finalizer handling.</v>
      </c>
      <c r="E79" s="10" t="str">
        <v>No authored dossier / narrative</v>
      </c>
      <c r="F79" s="10"/>
      <c r="G79" s="24" t="str">
        <v>Open evidence</v>
      </c>
    </row>
  </sheetData>
  <mergeCells>
    <mergeCell ref="A1:G1"/>
    <mergeCell ref="A2:G3"/>
  </mergeCells>
  <hyperlinks>
    <hyperlink ref="G6" r:id="NativeLink1"/>
    <hyperlink ref="G7" r:id="NativeLink2"/>
    <hyperlink ref="G8" r:id="NativeLink3"/>
    <hyperlink ref="G9" r:id="NativeLink4"/>
    <hyperlink ref="G10" r:id="NativeLink5"/>
    <hyperlink ref="G11" r:id="NativeLink6"/>
    <hyperlink ref="G12" r:id="NativeLink7"/>
    <hyperlink ref="G13" r:id="NativeLink8"/>
    <hyperlink ref="G14" r:id="NativeLink9"/>
    <hyperlink ref="G15" r:id="NativeLink10"/>
    <hyperlink ref="G16" r:id="NativeLink11"/>
    <hyperlink ref="G17" r:id="NativeLink12"/>
    <hyperlink ref="G18" r:id="NativeLink13"/>
    <hyperlink ref="G19" r:id="NativeLink14"/>
    <hyperlink ref="G20" r:id="NativeLink15"/>
    <hyperlink ref="G21" r:id="NativeLink16"/>
    <hyperlink ref="G22" r:id="NativeLink17"/>
    <hyperlink ref="G23" r:id="NativeLink18"/>
    <hyperlink ref="G24" r:id="NativeLink19"/>
    <hyperlink ref="G25" r:id="NativeLink20"/>
    <hyperlink ref="G26" r:id="NativeLink21"/>
    <hyperlink ref="G27" r:id="NativeLink22"/>
    <hyperlink ref="G28" r:id="NativeLink23"/>
    <hyperlink ref="G29" r:id="NativeLink24"/>
    <hyperlink ref="G30" r:id="NativeLink25"/>
    <hyperlink ref="G31" r:id="NativeLink26"/>
    <hyperlink ref="G32" r:id="NativeLink27"/>
    <hyperlink ref="G33" r:id="NativeLink28"/>
    <hyperlink ref="G34" r:id="NativeLink29"/>
    <hyperlink ref="G35" r:id="NativeLink30"/>
    <hyperlink ref="G36" r:id="NativeLink31"/>
    <hyperlink ref="G37" r:id="NativeLink32"/>
    <hyperlink ref="G38" r:id="NativeLink33"/>
    <hyperlink ref="G39" r:id="NativeLink34"/>
    <hyperlink ref="G40" r:id="NativeLink35"/>
    <hyperlink ref="G41" r:id="NativeLink36"/>
    <hyperlink ref="G42" r:id="NativeLink37"/>
    <hyperlink ref="G43" r:id="NativeLink38"/>
    <hyperlink ref="G44" r:id="NativeLink39"/>
    <hyperlink ref="G45" r:id="NativeLink40"/>
    <hyperlink ref="G46" r:id="NativeLink41"/>
    <hyperlink ref="G47" r:id="NativeLink42"/>
    <hyperlink ref="G48" r:id="NativeLink43"/>
    <hyperlink ref="G49" r:id="NativeLink44"/>
    <hyperlink ref="G50" r:id="NativeLink45"/>
    <hyperlink ref="G51" r:id="NativeLink46"/>
    <hyperlink ref="G52" r:id="NativeLink47"/>
    <hyperlink ref="G53" r:id="NativeLink48"/>
    <hyperlink ref="G54" r:id="NativeLink49"/>
    <hyperlink ref="G55" r:id="NativeLink50"/>
    <hyperlink ref="G56" r:id="NativeLink51"/>
    <hyperlink ref="G57" r:id="NativeLink52"/>
    <hyperlink ref="G58" r:id="NativeLink53"/>
    <hyperlink ref="G59" r:id="NativeLink54"/>
    <hyperlink ref="G60" r:id="NativeLink55"/>
    <hyperlink ref="G61" r:id="NativeLink56"/>
    <hyperlink ref="G62" r:id="NativeLink57"/>
    <hyperlink ref="G63" r:id="NativeLink58"/>
    <hyperlink ref="G64" r:id="NativeLink59"/>
    <hyperlink ref="G65" r:id="NativeLink60"/>
    <hyperlink ref="G66" r:id="NativeLink61"/>
    <hyperlink ref="G67" r:id="NativeLink62"/>
    <hyperlink ref="G68" r:id="NativeLink63"/>
    <hyperlink ref="G69" r:id="NativeLink64"/>
    <hyperlink ref="G70" r:id="NativeLink65"/>
    <hyperlink ref="G71" r:id="NativeLink66"/>
    <hyperlink ref="G72" r:id="NativeLink67"/>
    <hyperlink ref="G73" r:id="NativeLink68"/>
    <hyperlink ref="G74" r:id="NativeLink69"/>
    <hyperlink ref="G75" r:id="NativeLink70"/>
    <hyperlink ref="G76" r:id="NativeLink71"/>
    <hyperlink ref="G77" r:id="NativeLink72"/>
    <hyperlink ref="G78" r:id="NativeLink73"/>
    <hyperlink ref="G79" r:id="NativeLink74"/>
  </hyperlinks>
  <pageMargins left="0.7" right="0.7" top="0.75" bottom="0.75" header="0.3" footer="0.3"/>
  <tableParts count="1">
    <tablePart r:id="R0986ddf37d07417d"/>
  </tableParts>
</worksheet>
</file>

<file path=xl/worksheets/sheet5.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2" hidden="0" customWidth="1"/>
    <col min="2" max="2" width="35" hidden="0" customWidth="1"/>
    <col min="3" max="3" width="26" hidden="0" customWidth="1"/>
    <col min="4" max="4" width="95" hidden="0" customWidth="1"/>
    <col min="5" max="5" width="55" hidden="0" customWidth="1"/>
    <col min="6" max="6" width="18" hidden="0" customWidth="1"/>
  </cols>
  <sheetData>
    <row r="1" ht="38" customHeight="1">
      <c r="A1" s="5" t="str">
        <v>Observed failures and attribution</v>
      </c>
      <c r="B1" s="5"/>
      <c r="C1" s="5"/>
      <c r="D1" s="5"/>
      <c r="E1" s="5"/>
      <c r="F1" s="5"/>
    </row>
    <row r="2" ht="24" customHeight="1">
      <c r="A2" s="7" t="str">
        <v>Separate provider outages, backend defects, model behavior and operator actions. Broad needs_review/missing_finalize codes do not establish loss of saved research. Repairs were not made as part of this reporting task.</v>
      </c>
      <c r="B2" s="7"/>
      <c r="C2" s="7"/>
      <c r="D2" s="7"/>
      <c r="E2" s="7"/>
      <c r="F2" s="7"/>
    </row>
    <row r="3" ht="24" customHeight="1">
      <c r="A3" s="7"/>
      <c r="B3" s="7"/>
      <c r="C3" s="7"/>
      <c r="D3" s="7"/>
      <c r="E3" s="7"/>
      <c r="F3" s="7"/>
    </row>
    <row r="4">
      <c r="A4" s="3"/>
      <c r="B4" s="3"/>
      <c r="C4" s="3"/>
      <c r="D4" s="3"/>
      <c r="E4" s="3"/>
      <c r="F4" s="3"/>
    </row>
    <row r="5" ht="34" customHeight="1">
      <c r="A5" s="9" t="str">
        <v>Run</v>
      </c>
      <c r="B5" s="9" t="str">
        <v>Entity / stage</v>
      </c>
      <c r="C5" s="9" t="str">
        <v>Category</v>
      </c>
      <c r="D5" s="9" t="str">
        <v>What happened and consequence</v>
      </c>
      <c r="E5" s="9" t="str">
        <v>Confidence / limitation</v>
      </c>
      <c r="F5" s="9" t="str">
        <v>Evidence</v>
      </c>
    </row>
    <row r="6" ht="50" customHeight="1">
      <c r="A6" s="3" t="str">
        <v>P1</v>
      </c>
      <c r="B6" s="3" t="str">
        <v>Todd Greer</v>
      </c>
      <c r="C6" s="3" t="str">
        <v>Completion / infrastructure</v>
      </c>
      <c r="D6" s="3" t="str">
        <v>Durable dossier/import/narrative survived; finalization referenced account-owned committee claim from person context (missing_finalize).</v>
      </c>
      <c r="E6" s="3" t="str">
        <v>Observed; see run report</v>
      </c>
      <c r="F6" s="23" t="str">
        <v>Open evidence</v>
      </c>
    </row>
    <row r="7" ht="50" customHeight="1">
      <c r="A7" s="10" t="str">
        <v>P3</v>
      </c>
      <c r="B7" s="10" t="str">
        <v>Beth Smith</v>
      </c>
      <c r="C7" s="10" t="str">
        <v>Completion / infrastructure</v>
      </c>
      <c r="D7" s="10" t="str">
        <v>Contact narrative repeatedly omitted required parent dossier version; misleading old feedback; no published narrative.</v>
      </c>
      <c r="E7" s="10" t="str">
        <v>Observed; see run report</v>
      </c>
      <c r="F7" s="24" t="str">
        <v>Open evidence</v>
      </c>
    </row>
    <row r="8" ht="50" customHeight="1">
      <c r="A8" s="3" t="str">
        <v>P4</v>
      </c>
      <c r="B8" s="3" t="str">
        <v>Premier Gastroenterology</v>
      </c>
      <c r="C8" s="3" t="str">
        <v>Completion / infrastructure</v>
      </c>
      <c r="D8" s="3" t="str">
        <v>No researcher narrative saved; finalization missing /outputs/research.json. Later account page written by Muse reconciliation.</v>
      </c>
      <c r="E8" s="3" t="str">
        <v>Observed; see run report</v>
      </c>
      <c r="F8" s="23" t="str">
        <v>Open evidence</v>
      </c>
    </row>
    <row r="9" ht="50" customHeight="1">
      <c r="A9" s="10" t="str">
        <v>P4</v>
      </c>
      <c r="B9" s="10" t="str">
        <v>Todd Greer</v>
      </c>
      <c r="C9" s="10" t="str">
        <v>Completion / infrastructure</v>
      </c>
      <c r="D9" s="10" t="str">
        <v>Durable dossier/import/narrative survived; finalization referenced account-owned committee claim from person context (missing_finalize).</v>
      </c>
      <c r="E9" s="10" t="str">
        <v>Observed; see run report</v>
      </c>
      <c r="F9" s="24" t="str">
        <v>Open evidence</v>
      </c>
    </row>
    <row r="10" ht="50" customHeight="1">
      <c r="A10" s="3" t="str">
        <v>P5</v>
      </c>
      <c r="B10" s="3" t="str">
        <v>Todd Greer</v>
      </c>
      <c r="C10" s="3" t="str">
        <v>Completion / infrastructure</v>
      </c>
      <c r="D10" s="3" t="str">
        <v>Postgres volume exhausted; no authored person dossier or narrative, despite retained Exa report.</v>
      </c>
      <c r="E10" s="3" t="str">
        <v>Observed; see run report</v>
      </c>
      <c r="F10" s="23" t="str">
        <v>Open evidence</v>
      </c>
    </row>
    <row r="11" ht="68" customHeight="1">
      <c r="A11" s="10" t="str">
        <v>Z2</v>
      </c>
      <c r="B11" s="10" t="str">
        <v>Grok 4.7 medium account</v>
      </c>
      <c r="C11" s="10" t="str">
        <v>provider</v>
      </c>
      <c r="D11" s="10" t="str">
        <v>Model call 68 returned 502 `provider_unavailable`, explicitly capacity/high demand. Agent stopped during dossier assembly; 30 draft findings survived, no import/narrative. Nick and Vari never started. This is not an Exa timeout or evidence of poor completed research.</v>
      </c>
      <c r="E11" s="10" t="str">
        <v>Confirmed provider response and terminal job</v>
      </c>
      <c r="F11" s="24" t="str">
        <v>Open evidence</v>
      </c>
    </row>
    <row r="12" ht="68" customHeight="1">
      <c r="A12" s="3" t="str">
        <v>Z3</v>
      </c>
      <c r="B12" s="3" t="str">
        <v>GLM initial account committee nomination</v>
      </c>
      <c r="C12" s="3" t="str">
        <v>model behavior</v>
      </c>
      <c r="D12" s="3" t="str">
        <v>Four people nominated concurrently despite fixed Nick/Vari scope. Tom Anthony and Kelly W. acquired the two slots first. Nick/Vari cap retries did not repair the selection. This contributed to failure to complete the requested flow, but is not the final exception itself. No person research started.</v>
      </c>
      <c r="E12" s="3" t="str">
        <v>Confirmed observable calls and retained jobs</v>
      </c>
      <c r="F12" s="23" t="str">
        <v>Open evidence</v>
      </c>
    </row>
    <row r="13" ht="68" customHeight="1">
      <c r="A13" s="10" t="str">
        <v>Z3</v>
      </c>
      <c r="B13" s="10" t="str">
        <v>Both GLM account attempts</v>
      </c>
      <c r="C13" s="10" t="str">
        <v>backend</v>
      </c>
      <c r="D13" s="10" t="str">
        <v>Required `/outputs/research.json` was absent. `stat_entry` raised WorkspaceSecurityError outside the ValueError repair handling. This does not establish a permission denial. Exa output and original acquisitions survived, but no researcher JSON dossier/import/narrative.</v>
      </c>
      <c r="E13" s="10" t="str">
        <v>Confirmed missing file and exception; original attempt's model-stop cause not established</v>
      </c>
      <c r="F13" s="24" t="str">
        <v>Open evidence</v>
      </c>
    </row>
    <row r="14" ht="68" customHeight="1">
      <c r="A14" s="3" t="str">
        <v>Z4</v>
      </c>
      <c r="B14" s="3" t="str">
        <v>Both GLM account attempts</v>
      </c>
      <c r="C14" s="3" t="str">
        <v>backend</v>
      </c>
      <c r="D14" s="3" t="str">
        <v>Required `/outputs/research.json` was absent. `stat_entry` raised WorkspaceSecurityError outside the ValueError repair handling. This does not establish a permission denial. Exa output and original acquisitions survived, but no researcher JSON dossier/import/narrative.</v>
      </c>
      <c r="E14" s="3" t="str">
        <v>Confirmed missing file and exception; original attempt's model-stop cause not established</v>
      </c>
      <c r="F14" s="23" t="str">
        <v>Open evidence</v>
      </c>
    </row>
    <row r="15" ht="54" customHeight="1">
      <c r="A15" s="10" t="str">
        <v>Z4</v>
      </c>
      <c r="B15" s="10" t="str">
        <v>GLM untouched-02 last ordinary model response</v>
      </c>
      <c r="C15" s="10" t="str">
        <v>provider/model output limit</v>
      </c>
      <c r="D15" s="10" t="str">
        <v>Last ordinary response had incomplete public output `[`; finalize-only recovery then failed on absent output file. Why the model produced this form is not proven. Fresh run was not interrupted.</v>
      </c>
      <c r="E15" s="10" t="str">
        <v>Confirmed `finish_reason=length`, 16,384 output tokens</v>
      </c>
      <c r="F15" s="24" t="str">
        <v>Open evidence</v>
      </c>
    </row>
    <row r="16" ht="54" customHeight="1">
      <c r="A16" s="3" t="str">
        <v>Z3</v>
      </c>
      <c r="B16" s="3" t="str">
        <v>Initial GLM worker</v>
      </c>
      <c r="C16" s="3" t="str">
        <v>operator</v>
      </c>
      <c r="D16" s="3" t="str">
        <v>Account ended 08:44:16.802 UTC; worker stopped around 08:44:44, then same queue restored after user said not to interrupt. No account restart or person spending resulted. Fresh untouched-02 was a separate user-authorized test.</v>
      </c>
      <c r="E16" s="3" t="str">
        <v>Confirmed ordering; not the account-failure cause</v>
      </c>
      <c r="F16" s="23" t="str">
        <v>Open evidence</v>
      </c>
    </row>
    <row r="17" ht="68" customHeight="1">
      <c r="A17" s="10" t="str">
        <v>Z1</v>
      </c>
      <c r="B17" s="10" t="str">
        <v>Grok 4.6 Nick and Vari completion</v>
      </c>
      <c r="C17" s="10" t="str">
        <v>model behavior / ownership contract</v>
      </c>
      <c r="D17" s="10" t="str">
        <v>Both included account-owned committee-selection IDs in person completion files. Finalizer rejected references outside person context; finalizer retry did not change the invalid file. Both person dossiers, imports and narratives survived. Account completed; generation settled partial.</v>
      </c>
      <c r="E17" s="10" t="str">
        <v>Confirmed saved references and rejection</v>
      </c>
      <c r="F17" s="24" t="str">
        <v>Open evidence</v>
      </c>
    </row>
    <row r="18" ht="82" customHeight="1">
      <c r="A18" s="3" t="str">
        <v>Z5</v>
      </c>
      <c r="B18" s="3" t="str">
        <v>DeepSeek Nick parent-context read; Muse account completion and both person references</v>
      </c>
      <c r="C18" s="3" t="str">
        <v>backend</v>
      </c>
      <c r="D18" s="3" t="str">
        <v>`lookup_bound_person` replaced the stored input-reference object using the person job as `parent_job_id`. Nick's DeepSeek job subsequently could not read the completed account dossier; brief/generation references were lost. Both Muse person jobs point to themselves; account finalizer's child-parent query consequently rejects the correct Nick/Vari job IDs. Do not blame Muse for inventing those IDs.</v>
      </c>
      <c r="E18" s="3" t="str">
        <v>Confirmed persisted self-parent IDs and code path; downstream impact demonstrated</v>
      </c>
      <c r="F18" s="23" t="str">
        <v>Open evidence</v>
      </c>
    </row>
    <row r="19" ht="82" customHeight="1">
      <c r="A19" s="10" t="str">
        <v>Z6</v>
      </c>
      <c r="B19" s="10" t="str">
        <v>DeepSeek Nick parent-context read; Muse account completion and both person references</v>
      </c>
      <c r="C19" s="10" t="str">
        <v>backend</v>
      </c>
      <c r="D19" s="10" t="str">
        <v>`lookup_bound_person` replaced the stored input-reference object using the person job as `parent_job_id`. Nick's DeepSeek job subsequently could not read the completed account dossier; brief/generation references were lost. Both Muse person jobs point to themselves; account finalizer's child-parent query consequently rejects the correct Nick/Vari job IDs. Do not blame Muse for inventing those IDs.</v>
      </c>
      <c r="E19" s="10" t="str">
        <v>Confirmed persisted self-parent IDs and code path; downstream impact demonstrated</v>
      </c>
      <c r="F19" s="24" t="str">
        <v>Open evidence</v>
      </c>
    </row>
    <row r="20" ht="82" customHeight="1">
      <c r="A20" s="3" t="str">
        <v>Z5</v>
      </c>
      <c r="B20" s="3" t="str">
        <v>DeepSeek account and Vari early stops</v>
      </c>
      <c r="C20" s="3" t="str">
        <v>unresolved provider/parser/runtime</v>
      </c>
      <c r="D20" s="3" t="str">
        <v>Last metadata says `finish_reason=tool_calls` with empty public content, then no accepted finalizer. Token counts 9,945 and 3,618 do not establish truncation. Serialized snapshots omit typed tool calls in successful cases too, so missing serialized calls alone cannot diagnose a lost provider tool call. Account 64 findings imported; Vari stopped before deep research/dossier.</v>
      </c>
      <c r="E20" s="3" t="str">
        <v>Stop metadata confirmed; exact responsible component unproven</v>
      </c>
      <c r="F20" s="23" t="str">
        <v>Open evidence</v>
      </c>
    </row>
    <row r="21" ht="68" customHeight="1">
      <c r="A21" s="10" t="str">
        <v>Z5</v>
      </c>
      <c r="B21" s="10" t="str">
        <v>DeepSeek Nick final call</v>
      </c>
      <c r="C21" s="10" t="str">
        <v>provider / observability</v>
      </c>
      <c r="D21" s="10" t="str">
        <v>Final response has `finish_reason=error`, 571 output tokens and empty public content, but model ledger labels the call completed. Job ends missing_finalize. The earlier parent-reference bug is a separate failure. Nick's 37 findings imported; no narrative.</v>
      </c>
      <c r="E21" s="10" t="str">
        <v>Confirmed metadata; deeper provider cause unproven</v>
      </c>
      <c r="F21" s="24" t="str">
        <v>Open evidence</v>
      </c>
    </row>
    <row r="22" ht="68" customHeight="1">
      <c r="A22" s="3" t="str">
        <v>Z5</v>
      </c>
      <c r="B22" s="3" t="str">
        <v>DeepSeek's two common-Muse reconciliation calls</v>
      </c>
      <c r="C22" s="3" t="str">
        <v>common reconciliation model/schema</v>
      </c>
      <c r="D22" s="3" t="str">
        <v>First returned an object where `gaps[0]` required a string. Second returned missing/extra keys and malformed contact UUID containing prose. No account narrative was saved. These costs/failures belong to common Muse reconciliation, not DeepSeek research.</v>
      </c>
      <c r="E22" s="3" t="str">
        <v>Confirmed validator rejection</v>
      </c>
      <c r="F22" s="23" t="str">
        <v>Open evidence</v>
      </c>
    </row>
    <row r="23" ht="54" customHeight="1">
      <c r="A23" s="10" t="str">
        <v>Z6</v>
      </c>
      <c r="B23" s="10" t="str">
        <v>Muse max account narrative writes</v>
      </c>
      <c r="C23" s="10" t="str">
        <v>model behavior</v>
      </c>
      <c r="D23" s="10" t="str">
        <v>JSON string passed where `pages` required structured tuple, then wrong owned-page shape. Later corrected and saved 11 account sections. Retries changed wording/quote presentation, so semantic quality still needs review.</v>
      </c>
      <c r="E23" s="10" t="str">
        <v>Confirmed validation and eventual saved page</v>
      </c>
      <c r="F23" s="24" t="str">
        <v>Open evidence</v>
      </c>
    </row>
    <row r="24" ht="68" customHeight="1">
      <c r="A24" s="3" t="str">
        <v>Z6</v>
      </c>
      <c r="B24" s="3" t="str">
        <v>Muse max Nick person</v>
      </c>
      <c r="C24" s="3" t="str">
        <v>model behavior</v>
      </c>
      <c r="D24" s="3" t="str">
        <v>After importing 68 findings and reading narrative inputs/sources, agent wrote completion without saving a contact narrative. Ends `quality_unit_incomplete`. Parent-reference corruption is also present, but trace does not justify treating it as the sole cause of the missing write.</v>
      </c>
      <c r="E24" s="3" t="str">
        <v>Confirmed no narrative-write call/page; causal reason not inferred</v>
      </c>
      <c r="F24" s="23" t="str">
        <v>Open evidence</v>
      </c>
    </row>
    <row r="25" ht="68" customHeight="1">
      <c r="A25" s="10" t="str">
        <v>Z6</v>
      </c>
      <c r="B25" s="10" t="str">
        <v>Muse max Vari narrative</v>
      </c>
      <c r="C25" s="10" t="str">
        <v>model behavior / repair contract</v>
      </c>
      <c r="D25" s="10" t="str">
        <v>Literal string `null` supplied for account dossier version, then retry_of pointed to wrong slot/tool. Repair rejected; a narrative payload/review note was saved locally but not published through narrative writer. 56 findings imported; ends `quality_unit_incomplete`.</v>
      </c>
      <c r="E25" s="10" t="str">
        <v>Confirmed tool errors and draft only</v>
      </c>
      <c r="F25" s="24" t="str">
        <v>Open evidence</v>
      </c>
    </row>
    <row r="26" ht="54" customHeight="1">
      <c r="A26" s="3" t="str">
        <v>Z6</v>
      </c>
      <c r="B26" s="3" t="str">
        <v>Muse max common reconciliation, revisions 244/245</v>
      </c>
      <c r="C26" s="3" t="str">
        <v>common reconciliation model/schema</v>
      </c>
      <c r="D26" s="3" t="str">
        <v>Both calls fail `Each update needs page and section only`; generation settles needs_review 245/245. Existing account narrative survives unchanged. This was two distinct input snapshots, not a proven infinite self-trigger loop.</v>
      </c>
      <c r="E26" s="3" t="str">
        <v>Confirmed parser rejection; response not retained as usable parsed artifact</v>
      </c>
      <c r="F26" s="23" t="str">
        <v>Open evidence</v>
      </c>
    </row>
    <row r="27" ht="54" customHeight="1">
      <c r="A27" s="10" t="str">
        <v>Z1</v>
      </c>
      <c r="B27" s="10" t="str">
        <v>Grok 4.6 formation; Grok 4.7 partial formation</v>
      </c>
      <c r="C27" s="10" t="str">
        <v>model behavior</v>
      </c>
      <c r="D27" s="10" t="str">
        <v>Missing `review` objects/unsupported review status in Grok4.6 were corrected before all 139 imports; navigation errors also occurred. Grok4.7 five save calls yielded four durable sections. Do not count failed attempts as completed sections.</v>
      </c>
      <c r="E27" s="10" t="str">
        <v>Confirmed tool feedback; not root terminal failure</v>
      </c>
      <c r="F27" s="24" t="str">
        <v>Open evidence</v>
      </c>
    </row>
    <row r="28" ht="54" customHeight="1">
      <c r="A28" s="3" t="str">
        <v>Z2</v>
      </c>
      <c r="B28" s="3" t="str">
        <v>Grok 4.6 formation; Grok 4.7 partial formation</v>
      </c>
      <c r="C28" s="3" t="str">
        <v>model behavior</v>
      </c>
      <c r="D28" s="3" t="str">
        <v>Missing `review` objects/unsupported review status in Grok4.6 were corrected before all 139 imports; navigation errors also occurred. Grok4.7 five save calls yielded four durable sections. Do not count failed attempts as completed sections.</v>
      </c>
      <c r="E28" s="3" t="str">
        <v>Confirmed tool feedback; not root terminal failure</v>
      </c>
      <c r="F28" s="23" t="str">
        <v>Open evidence</v>
      </c>
    </row>
    <row r="29" ht="54" customHeight="1">
      <c r="A29" s="10" t="str">
        <v>P1</v>
      </c>
      <c r="B29" s="10" t="str">
        <v>Account continuations</v>
      </c>
      <c r="C29" s="10" t="str">
        <v>Backend lifecycle</v>
      </c>
      <c r="D29" s="10" t="str">
        <v>Old reconciliation repeatedly continued the account and could not settle on stable inputs; $4.12588 in recorded extra model work. Worker stopped during a third continuation. Initial research and pages survived.</v>
      </c>
      <c r="E29" s="10" t="str">
        <v>Observed; possible in-flight cost missing.</v>
      </c>
      <c r="F29" s="24" t="str">
        <v>Open evidence</v>
      </c>
    </row>
    <row r="30" ht="50" customHeight="1">
      <c r="A30" s="3" t="str">
        <v>P2</v>
      </c>
      <c r="B30" s="3" t="str">
        <v>Beth / Exa</v>
      </c>
      <c r="C30" s="3" t="str">
        <v>Provider wait + user cancellation</v>
      </c>
      <c r="D30" s="3" t="str">
        <v>Person deep request remained pending roughly 17 minutes; cancelled on user instruction. Eventual provider billing is unknown. No person dossier to grade.</v>
      </c>
      <c r="E30" s="3" t="str">
        <v>Observed wait; provider-side root cause unproven.</v>
      </c>
      <c r="F30" s="23" t="str">
        <v>Open evidence</v>
      </c>
    </row>
    <row r="31" ht="50" customHeight="1">
      <c r="A31" s="10" t="str">
        <v>P3</v>
      </c>
      <c r="B31" s="10" t="str">
        <v>Beth narrative</v>
      </c>
      <c r="C31" s="10" t="str">
        <v>Tool contract + model call arguments</v>
      </c>
      <c r="D31" s="10" t="str">
        <v>Missing parent dossier version repeatedly rejected narrative writes. Misleading error feedback described a changed parent rather than a missing argument.</v>
      </c>
      <c r="E31" s="10" t="str">
        <v>Confirmed; corrected in later runtime.</v>
      </c>
      <c r="F31" s="24" t="str">
        <v>Open evidence</v>
      </c>
    </row>
    <row r="32" ht="50" customHeight="1">
      <c r="A32" s="3" t="str">
        <v>P4</v>
      </c>
      <c r="B32" s="3" t="str">
        <v>Account finalization</v>
      </c>
      <c r="C32" s="3" t="str">
        <v>Backend recovery + incomplete final output</v>
      </c>
      <c r="D32" s="3" t="str">
        <v>Grok did not save its own account narrative or required final output file. Final page was generated by separate Muse reconciliation.</v>
      </c>
      <c r="E32" s="3" t="str">
        <v>Confirmed missing output; not a Grok narrative sample.</v>
      </c>
      <c r="F32" s="23" t="str">
        <v>Open evidence</v>
      </c>
    </row>
    <row r="33" ht="50" customHeight="1">
      <c r="A33" s="10" t="str">
        <v>P4</v>
      </c>
      <c r="B33" s="10" t="str">
        <v>Todd enrichment</v>
      </c>
      <c r="C33" s="10" t="str">
        <v>Subject lock</v>
      </c>
      <c r="D33" s="10" t="str">
        <v>AI Ark lookup refused for the locked subject; low AI Ark credits therefore do not establish cheaper successful enrichment.</v>
      </c>
      <c r="E33" s="10" t="str">
        <v>Confirmed tool refusal.</v>
      </c>
      <c r="F33" s="24" t="str">
        <v>Open evidence</v>
      </c>
    </row>
    <row r="34" ht="50" customHeight="1">
      <c r="A34" s="3" t="str">
        <v>P5</v>
      </c>
      <c r="B34" s="3" t="str">
        <v>Todd / storage</v>
      </c>
      <c r="C34" s="3" t="str">
        <v>Infrastructure</v>
      </c>
      <c r="D34" s="3" t="str">
        <v>Postgres Docker volume filled. Two model calls were recorded only remotely and recovered for billing; person research stopped before JSON dossier.</v>
      </c>
      <c r="E34" s="3" t="str">
        <v>Confirmed disk exhaustion; not a model-quality failure.</v>
      </c>
      <c r="F34" s="23" t="str">
        <v>Open evidence</v>
      </c>
    </row>
    <row r="35" ht="50" customHeight="1">
      <c r="A35" s="10" t="str">
        <v>P3 / P4</v>
      </c>
      <c r="B35" s="10" t="str">
        <v>Research evidence</v>
      </c>
      <c r="C35" s="10" t="str">
        <v>Shared filtering + model use</v>
      </c>
      <c r="D35" s="10" t="str">
        <v>AI Ark summary.seo remained exposed in projected enrichment artifacts; Grok F034 used that prose. The boundary leak is shared even when not used.</v>
      </c>
      <c r="E35" s="10" t="str">
        <v>Confirmed in retained artifacts.</v>
      </c>
      <c r="F35" s="24" t="str">
        <v>Open evidence</v>
      </c>
    </row>
    <row r="36" ht="50" customHeight="1">
      <c r="A36" s="3" t="str">
        <v>P4</v>
      </c>
      <c r="B36" s="3" t="str">
        <v>Trace export</v>
      </c>
      <c r="C36" s="3" t="str">
        <v>Observability</v>
      </c>
      <c r="D36" s="3" t="str">
        <v>Model-name parsing warnings and export timeout occurred. All 171 researcher model IDs and 27 provider attempt IDs were nevertheless found remotely.</v>
      </c>
      <c r="E36" s="3" t="str">
        <v>Verified IDs do not prove every filesystem callback exported.</v>
      </c>
      <c r="F36" s="23" t="str">
        <v>Open evidence</v>
      </c>
    </row>
    <row r="37" ht="50" customHeight="1">
      <c r="A37" s="10" t="str">
        <v>S1</v>
      </c>
      <c r="B37" s="10" t="str">
        <v>Before research</v>
      </c>
      <c r="C37" s="10" t="str">
        <v>Provider integration</v>
      </c>
      <c r="D37" s="10" t="str">
        <v>Muse provider 403 age attestation prerequisite</v>
      </c>
      <c r="E37" s="10" t="str">
        <v>No research tools executed</v>
      </c>
      <c r="F37" s="24" t="str">
        <v>Open evidence</v>
      </c>
    </row>
    <row r="38" ht="50" customHeight="1">
      <c r="A38" s="3" t="str">
        <v>S2</v>
      </c>
      <c r="B38" s="3" t="str">
        <v>Before research</v>
      </c>
      <c r="C38" s="3" t="str">
        <v>Provider integration</v>
      </c>
      <c r="D38" s="3" t="str">
        <v>Provider accepts only auto tool_choice</v>
      </c>
      <c r="E38" s="3" t="str">
        <v>No research tools executed</v>
      </c>
      <c r="F38" s="23" t="str">
        <v>Open evidence</v>
      </c>
    </row>
    <row r="39" ht="50" customHeight="1">
      <c r="A39" s="10" t="str">
        <v>S3</v>
      </c>
      <c r="B39" s="10" t="str">
        <v>Before research</v>
      </c>
      <c r="C39" s="10" t="str">
        <v>Provider integration</v>
      </c>
      <c r="D39" s="10" t="str">
        <v>Nested narrative tool schema exceeds provider depth limit</v>
      </c>
      <c r="E39" s="10" t="str">
        <v>No research tools executed</v>
      </c>
      <c r="F39" s="24" t="str">
        <v>Open evidence</v>
      </c>
    </row>
  </sheetData>
  <mergeCells>
    <mergeCell ref="A1:F1"/>
    <mergeCell ref="A2:F3"/>
  </mergeCells>
  <hyperlinks>
    <hyperlink ref="F6" r:id="NativeLink1"/>
    <hyperlink ref="F7" r:id="NativeLink2"/>
    <hyperlink ref="F8" r:id="NativeLink3"/>
    <hyperlink ref="F9" r:id="NativeLink4"/>
    <hyperlink ref="F10" r:id="NativeLink5"/>
    <hyperlink ref="F11" r:id="NativeLink6"/>
    <hyperlink ref="F12" r:id="NativeLink7"/>
    <hyperlink ref="F13" r:id="NativeLink8"/>
    <hyperlink ref="F14" r:id="NativeLink9"/>
    <hyperlink ref="F15" r:id="NativeLink10"/>
    <hyperlink ref="F16" r:id="NativeLink11"/>
    <hyperlink ref="F17" r:id="NativeLink12"/>
    <hyperlink ref="F18" r:id="NativeLink13"/>
    <hyperlink ref="F19" r:id="NativeLink14"/>
    <hyperlink ref="F20" r:id="NativeLink15"/>
    <hyperlink ref="F21" r:id="NativeLink16"/>
    <hyperlink ref="F22" r:id="NativeLink17"/>
    <hyperlink ref="F23" r:id="NativeLink18"/>
    <hyperlink ref="F24" r:id="NativeLink19"/>
    <hyperlink ref="F25" r:id="NativeLink20"/>
    <hyperlink ref="F26" r:id="NativeLink21"/>
    <hyperlink ref="F27" r:id="NativeLink22"/>
    <hyperlink ref="F28" r:id="NativeLink23"/>
    <hyperlink ref="F29" r:id="NativeLink24"/>
    <hyperlink ref="F30" r:id="NativeLink25"/>
    <hyperlink ref="F31" r:id="NativeLink26"/>
    <hyperlink ref="F32" r:id="NativeLink27"/>
    <hyperlink ref="F33" r:id="NativeLink28"/>
    <hyperlink ref="F34" r:id="NativeLink29"/>
    <hyperlink ref="F35" r:id="NativeLink30"/>
    <hyperlink ref="F36" r:id="NativeLink31"/>
    <hyperlink ref="F37" r:id="NativeLink32"/>
    <hyperlink ref="F38" r:id="NativeLink33"/>
    <hyperlink ref="F39" r:id="NativeLink34"/>
  </hyperlinks>
  <pageMargins left="0.7" right="0.7" top="0.75" bottom="0.75" header="0.3" footer="0.3"/>
  <tableParts count="1">
    <tablePart r:id="R0f3877d485e74d99"/>
  </tableParts>
</worksheet>
</file>

<file path=xl/worksheets/sheet6.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0" hidden="0" customWidth="1"/>
    <col min="2" max="2" width="29" hidden="0" customWidth="1"/>
    <col min="3" max="3" width="33" hidden="0" customWidth="1"/>
    <col min="4" max="4" width="27" hidden="0" customWidth="1"/>
    <col min="5" max="5" width="65" hidden="0" customWidth="1"/>
    <col min="6" max="6" width="105" hidden="0" customWidth="1"/>
  </cols>
  <sheetData>
    <row r="1" ht="38" customHeight="1">
      <c r="A1" s="5" t="str">
        <v>Dossiers, narratives, raw sources and execution traces</v>
      </c>
      <c r="B1" s="5"/>
      <c r="C1" s="5"/>
      <c r="D1" s="5"/>
      <c r="E1" s="5"/>
      <c r="F1" s="5"/>
    </row>
    <row r="2" ht="24" customHeight="1">
      <c r="A2" s="7" t="str">
        <v>Local links open files on this Mac; move/share the linked artifact tree with the workbook to preserve access. Langfuse links require your existing project access. Initial researcher narratives and later reconciled pages are identified separately. Raw private chain-of-thought is not reproduced.</v>
      </c>
      <c r="B2" s="7"/>
      <c r="C2" s="7"/>
      <c r="D2" s="7"/>
      <c r="E2" s="7"/>
      <c r="F2" s="7"/>
    </row>
    <row r="3" ht="24" customHeight="1">
      <c r="A3" s="7"/>
      <c r="B3" s="7"/>
      <c r="C3" s="7"/>
      <c r="D3" s="7"/>
      <c r="E3" s="7"/>
      <c r="F3" s="7"/>
    </row>
    <row r="4">
      <c r="A4" s="3"/>
      <c r="B4" s="3"/>
      <c r="C4" s="3"/>
      <c r="D4" s="3"/>
      <c r="E4" s="3"/>
      <c r="F4" s="3"/>
    </row>
    <row r="5" ht="34" customHeight="1">
      <c r="A5" s="9" t="str">
        <v>Run</v>
      </c>
      <c r="B5" s="9" t="str">
        <v>Entity / scope</v>
      </c>
      <c r="C5" s="9" t="str">
        <v>Artifact</v>
      </c>
      <c r="D5" s="9" t="str">
        <v>Open</v>
      </c>
      <c r="E5" s="9" t="str">
        <v>Notes</v>
      </c>
      <c r="F5" s="9" t="str">
        <v>Absolute source location</v>
      </c>
    </row>
    <row r="6" ht="40" customHeight="1">
      <c r="A6" s="3" t="str">
        <v>P1</v>
      </c>
      <c r="B6" s="3" t="str">
        <v>Premier Gastroenterology</v>
      </c>
      <c r="C6" s="3" t="str">
        <v>Initial claim JSON</v>
      </c>
      <c r="D6" s="23" t="str">
        <v>Open Initial claim JSON</v>
      </c>
      <c r="E6" s="3" t="str"/>
      <c r="F6" s="3" t="str">
        <v>/Users/aryankeshri/conductor/workspaces/research-and-data/jerusalem-v1/.artifacts/arv4-insight-premier-20260928-r24/account-initial/dossier.json</v>
      </c>
    </row>
    <row r="7" ht="40" customHeight="1">
      <c r="A7" s="10" t="str">
        <v>P1</v>
      </c>
      <c r="B7" s="10" t="str">
        <v>Premier Gastroenterology</v>
      </c>
      <c r="C7" s="10" t="str">
        <v>Latest claim JSON</v>
      </c>
      <c r="D7" s="24" t="str">
        <v>Open Latest claim JSON</v>
      </c>
      <c r="E7" s="10" t="str"/>
      <c r="F7" s="10" t="str">
        <v>/Users/aryankeshri/conductor/workspaces/research-and-data/jerusalem-v1/.artifacts/arv4-insight-premier-20260928-r24/review/8e9c0c15-df34-5047-a1b6-c2a482b42a48/dossier.json</v>
      </c>
    </row>
    <row r="8" ht="40" customHeight="1">
      <c r="A8" s="3" t="str">
        <v>P1</v>
      </c>
      <c r="B8" s="3" t="str">
        <v>Premier Gastroenterology</v>
      </c>
      <c r="C8" s="3" t="str">
        <v>Readable dossier</v>
      </c>
      <c r="D8" s="23" t="str">
        <v>Open Readable dossier</v>
      </c>
      <c r="E8" s="3" t="str"/>
      <c r="F8" s="3" t="str">
        <v>/Users/aryankeshri/conductor/workspaces/research-and-data/jerusalem-v1/.artifacts/arv4-insight-premier-20260928-r24/review/8e9c0c15-df34-5047-a1b6-c2a482b42a48/dossier.md</v>
      </c>
    </row>
    <row r="9" ht="40" customHeight="1">
      <c r="A9" s="10" t="str">
        <v>P1</v>
      </c>
      <c r="B9" s="10" t="str">
        <v>Premier Gastroenterology</v>
      </c>
      <c r="C9" s="10" t="str">
        <v>Researcher narrative</v>
      </c>
      <c r="D9" s="24" t="str">
        <v>Open Researcher narrative</v>
      </c>
      <c r="E9" s="10" t="str"/>
      <c r="F9" s="10" t="str">
        <v>/Users/aryankeshri/conductor/workspaces/research-and-data/jerusalem-v1/.artifacts/arv4-insight-premier-20260928-r24/account-initial/page.md</v>
      </c>
    </row>
    <row r="10" ht="40" customHeight="1">
      <c r="A10" s="3" t="str">
        <v>P1</v>
      </c>
      <c r="B10" s="3" t="str">
        <v>Premier Gastroenterology</v>
      </c>
      <c r="C10" s="3" t="str">
        <v>Final narrative</v>
      </c>
      <c r="D10" s="23" t="str">
        <v>Open Final narrative</v>
      </c>
      <c r="E10" s="3" t="str"/>
      <c r="F10" s="3" t="str">
        <v>/Users/aryankeshri/conductor/workspaces/research-and-data/jerusalem-v1/.artifacts/arv4-insight-premier-20260928-r24/account/page.md</v>
      </c>
    </row>
    <row r="11" ht="40" customHeight="1">
      <c r="A11" s="10" t="str">
        <v>P1</v>
      </c>
      <c r="B11" s="10" t="str">
        <v>Premier Gastroenterology</v>
      </c>
      <c r="C11" s="10" t="str">
        <v>Unpublished draft</v>
      </c>
      <c r="D11" s="10" t="str">
        <v>Not produced / unavailable</v>
      </c>
      <c r="E11" s="10" t="str"/>
      <c r="F11" s="10"/>
    </row>
    <row r="12" ht="40" customHeight="1">
      <c r="A12" s="3" t="str">
        <v>P1</v>
      </c>
      <c r="B12" s="3" t="str">
        <v>Premier Gastroenterology</v>
      </c>
      <c r="C12" s="3" t="str">
        <v>Timing audit</v>
      </c>
      <c r="D12" s="23" t="str">
        <v>Open Timing audit</v>
      </c>
      <c r="E12" s="3" t="str"/>
      <c r="F12" s="3" t="str">
        <v>/Users/aryankeshri/conductor/workspaces/research-and-data/jerusalem-v1/.artifacts/arv4-insight-premier-20260928-r24/timing.json</v>
      </c>
    </row>
    <row r="13" ht="40" customHeight="1">
      <c r="A13" s="10" t="str">
        <v>P1</v>
      </c>
      <c r="B13" s="10" t="str">
        <v>Premier Gastroenterology</v>
      </c>
      <c r="C13" s="10" t="str">
        <v>Langfuse execution</v>
      </c>
      <c r="D13" s="24" t="str">
        <v>Open Langfuse execution</v>
      </c>
      <c r="E13" s="10" t="str">
        <v>Observable model/tool activity; effort is requested configuration.</v>
      </c>
      <c r="F13" s="10" t="str">
        <v>https://us.cloud.langfuse.com/project/cmu2j8vra0137ad0clp5vylx2/traces/9e0454353e33bcea1ae2c50ce19797e7</v>
      </c>
    </row>
    <row r="14" ht="40" customHeight="1">
      <c r="A14" s="3" t="str">
        <v>P1</v>
      </c>
      <c r="B14" s="3" t="str">
        <v>Todd Greer</v>
      </c>
      <c r="C14" s="3" t="str">
        <v>Initial claim JSON</v>
      </c>
      <c r="D14" s="23" t="str">
        <v>Open Initial claim JSON</v>
      </c>
      <c r="E14" s="3" t="str"/>
      <c r="F14" s="3" t="str">
        <v>/Users/aryankeshri/conductor/workspaces/research-and-data/jerusalem-v1/.artifacts/arv4-insight-premier-20260928-r24/review/51acdfbb-d6c1-5ce2-8c7b-74761f40dddd/dossier.json</v>
      </c>
    </row>
    <row r="15" ht="40" customHeight="1">
      <c r="A15" s="10" t="str">
        <v>P1</v>
      </c>
      <c r="B15" s="10" t="str">
        <v>Todd Greer</v>
      </c>
      <c r="C15" s="10" t="str">
        <v>Latest claim JSON</v>
      </c>
      <c r="D15" s="24" t="str">
        <v>Open Latest claim JSON</v>
      </c>
      <c r="E15" s="10" t="str"/>
      <c r="F15" s="10" t="str">
        <v>/Users/aryankeshri/conductor/workspaces/research-and-data/jerusalem-v1/.artifacts/arv4-insight-premier-20260928-r24/review/51acdfbb-d6c1-5ce2-8c7b-74761f40dddd/dossier.json</v>
      </c>
    </row>
    <row r="16" ht="40" customHeight="1">
      <c r="A16" s="3" t="str">
        <v>P1</v>
      </c>
      <c r="B16" s="3" t="str">
        <v>Todd Greer</v>
      </c>
      <c r="C16" s="3" t="str">
        <v>Readable dossier</v>
      </c>
      <c r="D16" s="23" t="str">
        <v>Open Readable dossier</v>
      </c>
      <c r="E16" s="3" t="str"/>
      <c r="F16" s="3" t="str">
        <v>/Users/aryankeshri/conductor/workspaces/research-and-data/jerusalem-v1/.artifacts/arv4-insight-premier-20260928-r24/review/51acdfbb-d6c1-5ce2-8c7b-74761f40dddd/dossier.md</v>
      </c>
    </row>
    <row r="17" ht="40" customHeight="1">
      <c r="A17" s="10" t="str">
        <v>P1</v>
      </c>
      <c r="B17" s="10" t="str">
        <v>Todd Greer</v>
      </c>
      <c r="C17" s="10" t="str">
        <v>Researcher narrative</v>
      </c>
      <c r="D17" s="24" t="str">
        <v>Open Researcher narrative</v>
      </c>
      <c r="E17" s="10" t="str"/>
      <c r="F17" s="10" t="str">
        <v>/Users/aryankeshri/conductor/workspaces/research-and-data/jerusalem-v1/.artifacts/arv4-insight-premier-20260928-r24/person/page.md</v>
      </c>
    </row>
    <row r="18" ht="40" customHeight="1">
      <c r="A18" s="3" t="str">
        <v>P1</v>
      </c>
      <c r="B18" s="3" t="str">
        <v>Todd Greer</v>
      </c>
      <c r="C18" s="3" t="str">
        <v>Final narrative</v>
      </c>
      <c r="D18" s="23" t="str">
        <v>Open Final narrative</v>
      </c>
      <c r="E18" s="3" t="str"/>
      <c r="F18" s="3" t="str">
        <v>/Users/aryankeshri/conductor/workspaces/research-and-data/jerusalem-v1/.artifacts/arv4-insight-premier-20260928-r24/person/page.md</v>
      </c>
    </row>
    <row r="19" ht="40" customHeight="1">
      <c r="A19" s="10" t="str">
        <v>P1</v>
      </c>
      <c r="B19" s="10" t="str">
        <v>Todd Greer</v>
      </c>
      <c r="C19" s="10" t="str">
        <v>Unpublished draft</v>
      </c>
      <c r="D19" s="10" t="str">
        <v>Not produced / unavailable</v>
      </c>
      <c r="E19" s="10" t="str"/>
      <c r="F19" s="10"/>
    </row>
    <row r="20" ht="40" customHeight="1">
      <c r="A20" s="3" t="str">
        <v>P1</v>
      </c>
      <c r="B20" s="3" t="str">
        <v>Todd Greer</v>
      </c>
      <c r="C20" s="3" t="str">
        <v>Timing audit</v>
      </c>
      <c r="D20" s="23" t="str">
        <v>Open Timing audit</v>
      </c>
      <c r="E20" s="3" t="str"/>
      <c r="F20" s="3" t="str">
        <v>/Users/aryankeshri/conductor/workspaces/research-and-data/jerusalem-v1/.artifacts/arv4-insight-premier-20260928-r24/timing.json</v>
      </c>
    </row>
    <row r="21" ht="40" customHeight="1">
      <c r="A21" s="10" t="str">
        <v>P1</v>
      </c>
      <c r="B21" s="10" t="str">
        <v>Todd Greer</v>
      </c>
      <c r="C21" s="10" t="str">
        <v>Langfuse execution</v>
      </c>
      <c r="D21" s="24" t="str">
        <v>Open Langfuse execution</v>
      </c>
      <c r="E21" s="10" t="str">
        <v>Observable model/tool activity; effort is requested configuration.</v>
      </c>
      <c r="F21" s="10" t="str">
        <v>https://us.cloud.langfuse.com/project/cmu2j8vra0137ad0clp5vylx2/traces/bc4e9a092da6554b2d329c61bab18e28</v>
      </c>
    </row>
    <row r="22" ht="40" customHeight="1">
      <c r="A22" s="3" t="str">
        <v>P1</v>
      </c>
      <c r="B22" s="3" t="str">
        <v>Run</v>
      </c>
      <c r="C22" s="3" t="str">
        <v>Run report</v>
      </c>
      <c r="D22" s="23" t="str">
        <v>Open Run report</v>
      </c>
      <c r="E22" s="3" t="str"/>
      <c r="F22" s="3" t="str">
        <v>/Users/aryankeshri/conductor/workspaces/research-and-data/jerusalem-v1/.artifacts/arv4-insight-premier-20260928-r24/REPORT.md</v>
      </c>
    </row>
    <row r="23" ht="40" customHeight="1">
      <c r="A23" s="10" t="str">
        <v>P1</v>
      </c>
      <c r="B23" s="10" t="str">
        <v>Run / continuation</v>
      </c>
      <c r="C23" s="10" t="str">
        <v>Langfuse trace</v>
      </c>
      <c r="D23" s="24" t="str">
        <v>Open Langfuse trace</v>
      </c>
      <c r="E23" s="10" t="str"/>
      <c r="F23" s="10" t="str">
        <v>https://us.cloud.langfuse.com/project/cmu2j8vra0137ad0clp5vylx2/traces/133c0f57d27ffe38dc748fc1a4f58e2a</v>
      </c>
    </row>
    <row r="24" ht="40" customHeight="1">
      <c r="A24" s="3" t="str">
        <v>P1</v>
      </c>
      <c r="B24" s="3" t="str">
        <v>Run / continuation</v>
      </c>
      <c r="C24" s="3" t="str">
        <v>Langfuse trace</v>
      </c>
      <c r="D24" s="23" t="str">
        <v>Open Langfuse trace</v>
      </c>
      <c r="E24" s="3" t="str"/>
      <c r="F24" s="3" t="str">
        <v>https://us.cloud.langfuse.com/project/cmu2j8vra0137ad0clp5vylx2/traces/3d634e408ea7885a556b54dee59c4544</v>
      </c>
    </row>
    <row r="25" ht="40" customHeight="1">
      <c r="A25" s="10" t="str">
        <v>P1</v>
      </c>
      <c r="B25" s="10" t="str">
        <v>Run / continuation</v>
      </c>
      <c r="C25" s="10" t="str">
        <v>Langfuse trace</v>
      </c>
      <c r="D25" s="24" t="str">
        <v>Open Langfuse trace</v>
      </c>
      <c r="E25" s="10" t="str"/>
      <c r="F25" s="10" t="str">
        <v>https://us.cloud.langfuse.com/project/cmu2j8vra0137ad0clp5vylx2/traces/87a46ec1f3a0818377209f99d3840737</v>
      </c>
    </row>
    <row r="26" ht="40" customHeight="1">
      <c r="A26" s="3" t="str">
        <v>P1</v>
      </c>
      <c r="B26" s="3" t="str">
        <v>Run / continuation</v>
      </c>
      <c r="C26" s="3" t="str">
        <v>Langfuse trace</v>
      </c>
      <c r="D26" s="23" t="str">
        <v>Open Langfuse trace</v>
      </c>
      <c r="E26" s="3" t="str"/>
      <c r="F26" s="3" t="str">
        <v>https://us.cloud.langfuse.com/project/cmu2j8vra0137ad0clp5vylx2/traces/9e0454353e33bcea1ae2c50ce19797e7</v>
      </c>
    </row>
    <row r="27" ht="40" customHeight="1">
      <c r="A27" s="10" t="str">
        <v>P1</v>
      </c>
      <c r="B27" s="10" t="str">
        <v>Run / continuation</v>
      </c>
      <c r="C27" s="10" t="str">
        <v>Langfuse trace</v>
      </c>
      <c r="D27" s="24" t="str">
        <v>Open Langfuse trace</v>
      </c>
      <c r="E27" s="10" t="str"/>
      <c r="F27" s="10" t="str">
        <v>https://us.cloud.langfuse.com/project/cmu2j8vra0137ad0clp5vylx2/traces/bc4e9a092da6554b2d329c61bab18e28</v>
      </c>
    </row>
    <row r="28" ht="40" customHeight="1">
      <c r="A28" s="3" t="str">
        <v>P1</v>
      </c>
      <c r="B28" s="3" t="str">
        <v>Run</v>
      </c>
      <c r="C28" s="3" t="str">
        <v>all-raw/manifest.json</v>
      </c>
      <c r="D28" s="23" t="str">
        <v>Open all-raw/manifest.json</v>
      </c>
      <c r="E28" s="3" t="str"/>
      <c r="F28" s="3" t="str">
        <v>/Users/aryankeshri/conductor/workspaces/research-and-data/jerusalem-v1/.artifacts/arv4-insight-premier-20260928-r24/all-raw/manifest.json</v>
      </c>
    </row>
    <row r="29" ht="40" customHeight="1">
      <c r="A29" s="10" t="str">
        <v>P1</v>
      </c>
      <c r="B29" s="10" t="str">
        <v>Run</v>
      </c>
      <c r="C29" s="10" t="str">
        <v>review/provider_call_ledger.json</v>
      </c>
      <c r="D29" s="24" t="str">
        <v>Open review/provider_call_ledger.json</v>
      </c>
      <c r="E29" s="10" t="str"/>
      <c r="F29" s="10" t="str">
        <v>/Users/aryankeshri/conductor/workspaces/research-and-data/jerusalem-v1/.artifacts/arv4-insight-premier-20260928-r24/review/provider_call_ledger.json</v>
      </c>
    </row>
    <row r="30" ht="54" customHeight="1">
      <c r="A30" s="3" t="str">
        <v>P2</v>
      </c>
      <c r="B30" s="3" t="str">
        <v>Premier Gastroenterology</v>
      </c>
      <c r="C30" s="3" t="str">
        <v>Initial claim JSON</v>
      </c>
      <c r="D30" s="23" t="str">
        <v>Open Initial claim JSON</v>
      </c>
      <c r="E30" s="3" t="str"/>
      <c r="F30" s="3" t="str">
        <v>/Users/aryankeshri/conductor/workspaces/research-and-data/jerusalem-v1/.artifacts/arv4-insight-premier-muse-20260928-run04/review/c80f26cc-33e8-5529-b018-84f06ccbb325/dossier.json</v>
      </c>
    </row>
    <row r="31" ht="54" customHeight="1">
      <c r="A31" s="10" t="str">
        <v>P2</v>
      </c>
      <c r="B31" s="10" t="str">
        <v>Premier Gastroenterology</v>
      </c>
      <c r="C31" s="10" t="str">
        <v>Latest claim JSON</v>
      </c>
      <c r="D31" s="24" t="str">
        <v>Open Latest claim JSON</v>
      </c>
      <c r="E31" s="10" t="str"/>
      <c r="F31" s="10" t="str">
        <v>/Users/aryankeshri/conductor/workspaces/research-and-data/jerusalem-v1/.artifacts/arv4-insight-premier-muse-20260928-run04/review/c80f26cc-33e8-5529-b018-84f06ccbb325/dossier.json</v>
      </c>
    </row>
    <row r="32" ht="40" customHeight="1">
      <c r="A32" s="3" t="str">
        <v>P2</v>
      </c>
      <c r="B32" s="3" t="str">
        <v>Premier Gastroenterology</v>
      </c>
      <c r="C32" s="3" t="str">
        <v>Readable dossier</v>
      </c>
      <c r="D32" s="23" t="str">
        <v>Open Readable dossier</v>
      </c>
      <c r="E32" s="3" t="str"/>
      <c r="F32" s="3" t="str">
        <v>/Users/aryankeshri/conductor/workspaces/research-and-data/jerusalem-v1/.artifacts/arv4-insight-premier-muse-20260928-run04/review/c80f26cc-33e8-5529-b018-84f06ccbb325/dossier.md</v>
      </c>
    </row>
    <row r="33" ht="40" customHeight="1">
      <c r="A33" s="10" t="str">
        <v>P2</v>
      </c>
      <c r="B33" s="10" t="str">
        <v>Premier Gastroenterology</v>
      </c>
      <c r="C33" s="10" t="str">
        <v>Researcher narrative</v>
      </c>
      <c r="D33" s="24" t="str">
        <v>Open Researcher narrative</v>
      </c>
      <c r="E33" s="10" t="str"/>
      <c r="F33" s="10" t="str">
        <v>/Users/aryankeshri/conductor/workspaces/research-and-data/jerusalem-v1/.artifacts/arv4-insight-premier-muse-20260928-run04/account-initial/page.md</v>
      </c>
    </row>
    <row r="34" ht="40" customHeight="1">
      <c r="A34" s="3" t="str">
        <v>P2</v>
      </c>
      <c r="B34" s="3" t="str">
        <v>Premier Gastroenterology</v>
      </c>
      <c r="C34" s="3" t="str">
        <v>Final narrative</v>
      </c>
      <c r="D34" s="23" t="str">
        <v>Open Final narrative</v>
      </c>
      <c r="E34" s="3" t="str"/>
      <c r="F34" s="3" t="str">
        <v>/Users/aryankeshri/conductor/workspaces/research-and-data/jerusalem-v1/.artifacts/arv4-insight-premier-muse-20260928-run04/account/page.md</v>
      </c>
    </row>
    <row r="35" ht="40" customHeight="1">
      <c r="A35" s="10" t="str">
        <v>P2</v>
      </c>
      <c r="B35" s="10" t="str">
        <v>Premier Gastroenterology</v>
      </c>
      <c r="C35" s="10" t="str">
        <v>Unpublished draft</v>
      </c>
      <c r="D35" s="10" t="str">
        <v>Not produced / unavailable</v>
      </c>
      <c r="E35" s="10" t="str"/>
      <c r="F35" s="10"/>
    </row>
    <row r="36" ht="40" customHeight="1">
      <c r="A36" s="3" t="str">
        <v>P2</v>
      </c>
      <c r="B36" s="3" t="str">
        <v>Premier Gastroenterology</v>
      </c>
      <c r="C36" s="3" t="str">
        <v>Timing audit</v>
      </c>
      <c r="D36" s="23" t="str">
        <v>Open Timing audit</v>
      </c>
      <c r="E36" s="3" t="str"/>
      <c r="F36" s="3" t="str">
        <v>/Users/aryankeshri/conductor/workspaces/research-and-data/jerusalem-v1/.artifacts/arv4-insight-premier-muse-20260928-run04/timing.json</v>
      </c>
    </row>
    <row r="37" ht="40" customHeight="1">
      <c r="A37" s="10" t="str">
        <v>P2</v>
      </c>
      <c r="B37" s="10" t="str">
        <v>Premier Gastroenterology</v>
      </c>
      <c r="C37" s="10" t="str">
        <v>Langfuse execution</v>
      </c>
      <c r="D37" s="24" t="str">
        <v>Open Langfuse execution</v>
      </c>
      <c r="E37" s="10" t="str">
        <v>Observable model/tool activity; effort is requested configuration.</v>
      </c>
      <c r="F37" s="10" t="str">
        <v>https://us.cloud.langfuse.com/project/cmu2j8vra0137ad0clp5vylx2/traces/09d6b7526fd695d6972b40d120e78840</v>
      </c>
    </row>
    <row r="38" ht="40" customHeight="1">
      <c r="A38" s="3" t="str">
        <v>P2</v>
      </c>
      <c r="B38" s="3" t="str">
        <v>Beth Smith</v>
      </c>
      <c r="C38" s="3" t="str">
        <v>Initial claim JSON</v>
      </c>
      <c r="D38" s="3" t="str">
        <v>Not produced / unavailable</v>
      </c>
      <c r="E38" s="3" t="str"/>
      <c r="F38" s="3"/>
    </row>
    <row r="39" ht="40" customHeight="1">
      <c r="A39" s="10" t="str">
        <v>P2</v>
      </c>
      <c r="B39" s="10" t="str">
        <v>Beth Smith</v>
      </c>
      <c r="C39" s="10" t="str">
        <v>Latest claim JSON</v>
      </c>
      <c r="D39" s="10" t="str">
        <v>Not produced / unavailable</v>
      </c>
      <c r="E39" s="10" t="str"/>
      <c r="F39" s="10"/>
    </row>
    <row r="40" ht="40" customHeight="1">
      <c r="A40" s="3" t="str">
        <v>P2</v>
      </c>
      <c r="B40" s="3" t="str">
        <v>Beth Smith</v>
      </c>
      <c r="C40" s="3" t="str">
        <v>Readable dossier</v>
      </c>
      <c r="D40" s="3" t="str">
        <v>Not produced / unavailable</v>
      </c>
      <c r="E40" s="3" t="str"/>
      <c r="F40" s="3"/>
    </row>
    <row r="41" ht="40" customHeight="1">
      <c r="A41" s="10" t="str">
        <v>P2</v>
      </c>
      <c r="B41" s="10" t="str">
        <v>Beth Smith</v>
      </c>
      <c r="C41" s="10" t="str">
        <v>Researcher narrative</v>
      </c>
      <c r="D41" s="10" t="str">
        <v>Not produced / unavailable</v>
      </c>
      <c r="E41" s="10" t="str"/>
      <c r="F41" s="10"/>
    </row>
    <row r="42" ht="40" customHeight="1">
      <c r="A42" s="3" t="str">
        <v>P2</v>
      </c>
      <c r="B42" s="3" t="str">
        <v>Beth Smith</v>
      </c>
      <c r="C42" s="3" t="str">
        <v>Final narrative</v>
      </c>
      <c r="D42" s="3" t="str">
        <v>Not produced / unavailable</v>
      </c>
      <c r="E42" s="3" t="str"/>
      <c r="F42" s="3"/>
    </row>
    <row r="43" ht="40" customHeight="1">
      <c r="A43" s="10" t="str">
        <v>P2</v>
      </c>
      <c r="B43" s="10" t="str">
        <v>Beth Smith</v>
      </c>
      <c r="C43" s="10" t="str">
        <v>Unpublished draft</v>
      </c>
      <c r="D43" s="10" t="str">
        <v>Not produced / unavailable</v>
      </c>
      <c r="E43" s="10" t="str"/>
      <c r="F43" s="10"/>
    </row>
    <row r="44" ht="40" customHeight="1">
      <c r="A44" s="3" t="str">
        <v>P2</v>
      </c>
      <c r="B44" s="3" t="str">
        <v>Beth Smith</v>
      </c>
      <c r="C44" s="3" t="str">
        <v>Timing audit</v>
      </c>
      <c r="D44" s="23" t="str">
        <v>Open Timing audit</v>
      </c>
      <c r="E44" s="3" t="str"/>
      <c r="F44" s="3" t="str">
        <v>/Users/aryankeshri/conductor/workspaces/research-and-data/jerusalem-v1/.artifacts/arv4-insight-premier-muse-20260928-run04/timing.json</v>
      </c>
    </row>
    <row r="45" ht="40" customHeight="1">
      <c r="A45" s="10" t="str">
        <v>P2</v>
      </c>
      <c r="B45" s="10" t="str">
        <v>Beth Smith</v>
      </c>
      <c r="C45" s="10" t="str">
        <v>Langfuse execution</v>
      </c>
      <c r="D45" s="24" t="str">
        <v>Open Langfuse execution</v>
      </c>
      <c r="E45" s="10" t="str">
        <v>Observable model/tool activity; effort is requested configuration.</v>
      </c>
      <c r="F45" s="10" t="str">
        <v>https://us.cloud.langfuse.com/project/cmu2j8vra0137ad0clp5vylx2/traces/1573034d8e86eefb97ad0cc0811f9b8d</v>
      </c>
    </row>
    <row r="46" ht="40" customHeight="1">
      <c r="A46" s="3" t="str">
        <v>P2</v>
      </c>
      <c r="B46" s="3" t="str">
        <v>Run</v>
      </c>
      <c r="C46" s="3" t="str">
        <v>Run report</v>
      </c>
      <c r="D46" s="23" t="str">
        <v>Open Run report</v>
      </c>
      <c r="E46" s="3" t="str"/>
      <c r="F46" s="3" t="str">
        <v>/Users/aryankeshri/conductor/workspaces/research-and-data/jerusalem-v1/.artifacts/arv4-insight-premier-muse-20260928-run04/REVIEW-IN-PROGRESS.md</v>
      </c>
    </row>
    <row r="47" ht="40" customHeight="1">
      <c r="A47" s="10" t="str">
        <v>P2</v>
      </c>
      <c r="B47" s="10" t="str">
        <v>Run / continuation</v>
      </c>
      <c r="C47" s="10" t="str">
        <v>Langfuse trace</v>
      </c>
      <c r="D47" s="24" t="str">
        <v>Open Langfuse trace</v>
      </c>
      <c r="E47" s="10" t="str"/>
      <c r="F47" s="10" t="str">
        <v>https://us.cloud.langfuse.com/project/cmu2j8vra0137ad0clp5vylx2/traces/09d6b7526fd695d6972b40d120e78840</v>
      </c>
    </row>
    <row r="48" ht="40" customHeight="1">
      <c r="A48" s="3" t="str">
        <v>P2</v>
      </c>
      <c r="B48" s="3" t="str">
        <v>Run / continuation</v>
      </c>
      <c r="C48" s="3" t="str">
        <v>Langfuse trace</v>
      </c>
      <c r="D48" s="23" t="str">
        <v>Open Langfuse trace</v>
      </c>
      <c r="E48" s="3" t="str"/>
      <c r="F48" s="3" t="str">
        <v>https://us.cloud.langfuse.com/project/cmu2j8vra0137ad0clp5vylx2/traces/1573034d8e86eefb97ad0cc0811f9b8d</v>
      </c>
    </row>
    <row r="49" ht="40" customHeight="1">
      <c r="A49" s="10" t="str">
        <v>P2</v>
      </c>
      <c r="B49" s="10" t="str">
        <v>Run</v>
      </c>
      <c r="C49" s="10" t="str">
        <v>all-raw/manifest.json</v>
      </c>
      <c r="D49" s="24" t="str">
        <v>Open all-raw/manifest.json</v>
      </c>
      <c r="E49" s="10" t="str"/>
      <c r="F49" s="10" t="str">
        <v>/Users/aryankeshri/conductor/workspaces/research-and-data/jerusalem-v1/.artifacts/arv4-insight-premier-muse-20260928-run04/all-raw/manifest.json</v>
      </c>
    </row>
    <row r="50" ht="40" customHeight="1">
      <c r="A50" s="3" t="str">
        <v>P2</v>
      </c>
      <c r="B50" s="3" t="str">
        <v>Run</v>
      </c>
      <c r="C50" s="3" t="str">
        <v>review/provider_call_ledger.json</v>
      </c>
      <c r="D50" s="23" t="str">
        <v>Open review/provider_call_ledger.json</v>
      </c>
      <c r="E50" s="3" t="str"/>
      <c r="F50" s="3" t="str">
        <v>/Users/aryankeshri/conductor/workspaces/research-and-data/jerusalem-v1/.artifacts/arv4-insight-premier-muse-20260928-run04/review/provider_call_ledger.json</v>
      </c>
    </row>
    <row r="51" ht="54" customHeight="1">
      <c r="A51" s="10" t="str">
        <v>P3</v>
      </c>
      <c r="B51" s="10" t="str">
        <v>Premier Gastroenterology</v>
      </c>
      <c r="C51" s="10" t="str">
        <v>Initial claim JSON</v>
      </c>
      <c r="D51" s="24" t="str">
        <v>Open Initial claim JSON</v>
      </c>
      <c r="E51" s="10" t="str"/>
      <c r="F51" s="10" t="str">
        <v>/Users/aryankeshri/conductor/workspaces/research-and-data/jerusalem-v1/.artifacts/arv4-insight-premier-muse-high-20260928-run05/review/c80f26cc-33e8-5529-b018-84f06ccbb325/dossier.json</v>
      </c>
    </row>
    <row r="52" ht="54" customHeight="1">
      <c r="A52" s="3" t="str">
        <v>P3</v>
      </c>
      <c r="B52" s="3" t="str">
        <v>Premier Gastroenterology</v>
      </c>
      <c r="C52" s="3" t="str">
        <v>Latest claim JSON</v>
      </c>
      <c r="D52" s="23" t="str">
        <v>Open Latest claim JSON</v>
      </c>
      <c r="E52" s="3" t="str"/>
      <c r="F52" s="3" t="str">
        <v>/Users/aryankeshri/conductor/workspaces/research-and-data/jerusalem-v1/.artifacts/arv4-insight-premier-muse-high-20260928-run05/review/c80f26cc-33e8-5529-b018-84f06ccbb325/dossier.json</v>
      </c>
    </row>
    <row r="53" ht="54" customHeight="1">
      <c r="A53" s="10" t="str">
        <v>P3</v>
      </c>
      <c r="B53" s="10" t="str">
        <v>Premier Gastroenterology</v>
      </c>
      <c r="C53" s="10" t="str">
        <v>Readable dossier</v>
      </c>
      <c r="D53" s="24" t="str">
        <v>Open Readable dossier</v>
      </c>
      <c r="E53" s="10" t="str"/>
      <c r="F53" s="10" t="str">
        <v>/Users/aryankeshri/conductor/workspaces/research-and-data/jerusalem-v1/.artifacts/arv4-insight-premier-muse-high-20260928-run05/review/c80f26cc-33e8-5529-b018-84f06ccbb325/dossier.md</v>
      </c>
    </row>
    <row r="54" ht="40" customHeight="1">
      <c r="A54" s="3" t="str">
        <v>P3</v>
      </c>
      <c r="B54" s="3" t="str">
        <v>Premier Gastroenterology</v>
      </c>
      <c r="C54" s="3" t="str">
        <v>Researcher narrative</v>
      </c>
      <c r="D54" s="23" t="str">
        <v>Open Researcher narrative</v>
      </c>
      <c r="E54" s="3" t="str"/>
      <c r="F54" s="3" t="str">
        <v>/Users/aryankeshri/conductor/workspaces/research-and-data/jerusalem-v1/.artifacts/arv4-insight-premier-muse-high-20260928-run05/account-initial/page.md</v>
      </c>
    </row>
    <row r="55" ht="40" customHeight="1">
      <c r="A55" s="10" t="str">
        <v>P3</v>
      </c>
      <c r="B55" s="10" t="str">
        <v>Premier Gastroenterology</v>
      </c>
      <c r="C55" s="10" t="str">
        <v>Final narrative</v>
      </c>
      <c r="D55" s="24" t="str">
        <v>Open Final narrative</v>
      </c>
      <c r="E55" s="10" t="str"/>
      <c r="F55" s="10" t="str">
        <v>/Users/aryankeshri/conductor/workspaces/research-and-data/jerusalem-v1/.artifacts/arv4-insight-premier-muse-high-20260928-run05/account/page.md</v>
      </c>
    </row>
    <row r="56" ht="40" customHeight="1">
      <c r="A56" s="3" t="str">
        <v>P3</v>
      </c>
      <c r="B56" s="3" t="str">
        <v>Premier Gastroenterology</v>
      </c>
      <c r="C56" s="3" t="str">
        <v>Unpublished draft</v>
      </c>
      <c r="D56" s="3" t="str">
        <v>Not produced / unavailable</v>
      </c>
      <c r="E56" s="3" t="str"/>
      <c r="F56" s="3"/>
    </row>
    <row r="57" ht="40" customHeight="1">
      <c r="A57" s="10" t="str">
        <v>P3</v>
      </c>
      <c r="B57" s="10" t="str">
        <v>Premier Gastroenterology</v>
      </c>
      <c r="C57" s="10" t="str">
        <v>Timing audit</v>
      </c>
      <c r="D57" s="24" t="str">
        <v>Open Timing audit</v>
      </c>
      <c r="E57" s="10" t="str"/>
      <c r="F57" s="10" t="str">
        <v>/Users/aryankeshri/conductor/workspaces/research-and-data/jerusalem-v1/.artifacts/arv4-insight-premier-muse-high-20260928-run05/timing.json</v>
      </c>
    </row>
    <row r="58" ht="40" customHeight="1">
      <c r="A58" s="3" t="str">
        <v>P3</v>
      </c>
      <c r="B58" s="3" t="str">
        <v>Premier Gastroenterology</v>
      </c>
      <c r="C58" s="3" t="str">
        <v>Langfuse execution</v>
      </c>
      <c r="D58" s="23" t="str">
        <v>Open Langfuse execution</v>
      </c>
      <c r="E58" s="3" t="str">
        <v>Observable model/tool activity; effort is requested configuration.</v>
      </c>
      <c r="F58" s="3" t="str">
        <v>https://us.cloud.langfuse.com/project/cmu2j8vra0137ad0clp5vylx2/traces/763b1fb55671bf00929c86c4f747ccbb</v>
      </c>
    </row>
    <row r="59" ht="54" customHeight="1">
      <c r="A59" s="10" t="str">
        <v>P3</v>
      </c>
      <c r="B59" s="10" t="str">
        <v>Beth Smith</v>
      </c>
      <c r="C59" s="10" t="str">
        <v>Initial claim JSON</v>
      </c>
      <c r="D59" s="24" t="str">
        <v>Open Initial claim JSON</v>
      </c>
      <c r="E59" s="10" t="str"/>
      <c r="F59" s="10" t="str">
        <v>/Users/aryankeshri/conductor/workspaces/research-and-data/jerusalem-v1/.artifacts/arv4-insight-premier-muse-high-20260928-run05/review/ce2ce4f1-ab74-5f41-b739-6dd5a201088e/dossier.json</v>
      </c>
    </row>
    <row r="60" ht="54" customHeight="1">
      <c r="A60" s="3" t="str">
        <v>P3</v>
      </c>
      <c r="B60" s="3" t="str">
        <v>Beth Smith</v>
      </c>
      <c r="C60" s="3" t="str">
        <v>Latest claim JSON</v>
      </c>
      <c r="D60" s="23" t="str">
        <v>Open Latest claim JSON</v>
      </c>
      <c r="E60" s="3" t="str"/>
      <c r="F60" s="3" t="str">
        <v>/Users/aryankeshri/conductor/workspaces/research-and-data/jerusalem-v1/.artifacts/arv4-insight-premier-muse-high-20260928-run05/review/ce2ce4f1-ab74-5f41-b739-6dd5a201088e/dossier.json</v>
      </c>
    </row>
    <row r="61" ht="54" customHeight="1">
      <c r="A61" s="10" t="str">
        <v>P3</v>
      </c>
      <c r="B61" s="10" t="str">
        <v>Beth Smith</v>
      </c>
      <c r="C61" s="10" t="str">
        <v>Readable dossier</v>
      </c>
      <c r="D61" s="24" t="str">
        <v>Open Readable dossier</v>
      </c>
      <c r="E61" s="10" t="str"/>
      <c r="F61" s="10" t="str">
        <v>/Users/aryankeshri/conductor/workspaces/research-and-data/jerusalem-v1/.artifacts/arv4-insight-premier-muse-high-20260928-run05/review/ce2ce4f1-ab74-5f41-b739-6dd5a201088e/dossier.md</v>
      </c>
    </row>
    <row r="62" ht="40" customHeight="1">
      <c r="A62" s="3" t="str">
        <v>P3</v>
      </c>
      <c r="B62" s="3" t="str">
        <v>Beth Smith</v>
      </c>
      <c r="C62" s="3" t="str">
        <v>Researcher narrative</v>
      </c>
      <c r="D62" s="3" t="str">
        <v>Not produced / unavailable</v>
      </c>
      <c r="E62" s="3" t="str"/>
      <c r="F62" s="3"/>
    </row>
    <row r="63" ht="40" customHeight="1">
      <c r="A63" s="10" t="str">
        <v>P3</v>
      </c>
      <c r="B63" s="10" t="str">
        <v>Beth Smith</v>
      </c>
      <c r="C63" s="10" t="str">
        <v>Final narrative</v>
      </c>
      <c r="D63" s="10" t="str">
        <v>Not produced / unavailable</v>
      </c>
      <c r="E63" s="10" t="str"/>
      <c r="F63" s="10"/>
    </row>
    <row r="64" ht="40" customHeight="1">
      <c r="A64" s="3" t="str">
        <v>P3</v>
      </c>
      <c r="B64" s="3" t="str">
        <v>Beth Smith</v>
      </c>
      <c r="C64" s="3" t="str">
        <v>Unpublished draft</v>
      </c>
      <c r="D64" s="23" t="str">
        <v>Open Unpublished draft</v>
      </c>
      <c r="E64" s="3" t="str"/>
      <c r="F64" s="3" t="str">
        <v>/Users/aryankeshri/conductor/workspaces/research-and-data/jerusalem-v1/.artifacts/arv4-insight-premier-muse-high-20260928-run05/person/unpublished-narrative-draft.md</v>
      </c>
    </row>
    <row r="65" ht="40" customHeight="1">
      <c r="A65" s="10" t="str">
        <v>P3</v>
      </c>
      <c r="B65" s="10" t="str">
        <v>Beth Smith</v>
      </c>
      <c r="C65" s="10" t="str">
        <v>Timing audit</v>
      </c>
      <c r="D65" s="24" t="str">
        <v>Open Timing audit</v>
      </c>
      <c r="E65" s="10" t="str"/>
      <c r="F65" s="10" t="str">
        <v>/Users/aryankeshri/conductor/workspaces/research-and-data/jerusalem-v1/.artifacts/arv4-insight-premier-muse-high-20260928-run05/timing.json</v>
      </c>
    </row>
    <row r="66" ht="40" customHeight="1">
      <c r="A66" s="3" t="str">
        <v>P3</v>
      </c>
      <c r="B66" s="3" t="str">
        <v>Beth Smith</v>
      </c>
      <c r="C66" s="3" t="str">
        <v>Langfuse execution</v>
      </c>
      <c r="D66" s="23" t="str">
        <v>Open Langfuse execution</v>
      </c>
      <c r="E66" s="3" t="str">
        <v>Observable model/tool activity; effort is requested configuration.</v>
      </c>
      <c r="F66" s="3" t="str">
        <v>https://us.cloud.langfuse.com/project/cmu2j8vra0137ad0clp5vylx2/traces/b5b7bf75299d5fe23ad42a3f881c322d</v>
      </c>
    </row>
    <row r="67" ht="40" customHeight="1">
      <c r="A67" s="10" t="str">
        <v>P3</v>
      </c>
      <c r="B67" s="10" t="str">
        <v>Run</v>
      </c>
      <c r="C67" s="10" t="str">
        <v>Run report</v>
      </c>
      <c r="D67" s="24" t="str">
        <v>Open Run report</v>
      </c>
      <c r="E67" s="10" t="str"/>
      <c r="F67" s="10" t="str">
        <v>/Users/aryankeshri/conductor/workspaces/research-and-data/jerusalem-v1/.artifacts/arv4-insight-premier-muse-high-20260928-run05/REPORT.md</v>
      </c>
    </row>
    <row r="68" ht="40" customHeight="1">
      <c r="A68" s="3" t="str">
        <v>P3</v>
      </c>
      <c r="B68" s="3" t="str">
        <v>Run / continuation</v>
      </c>
      <c r="C68" s="3" t="str">
        <v>Langfuse trace</v>
      </c>
      <c r="D68" s="23" t="str">
        <v>Open Langfuse trace</v>
      </c>
      <c r="E68" s="3" t="str"/>
      <c r="F68" s="3" t="str">
        <v>https://us.cloud.langfuse.com/project/cmu2j8vra0137ad0clp5vylx2/traces/763b1fb55671bf00929c86c4f747ccbb</v>
      </c>
    </row>
    <row r="69" ht="40" customHeight="1">
      <c r="A69" s="10" t="str">
        <v>P3</v>
      </c>
      <c r="B69" s="10" t="str">
        <v>Run / continuation</v>
      </c>
      <c r="C69" s="10" t="str">
        <v>Langfuse trace</v>
      </c>
      <c r="D69" s="24" t="str">
        <v>Open Langfuse trace</v>
      </c>
      <c r="E69" s="10" t="str"/>
      <c r="F69" s="10" t="str">
        <v>https://us.cloud.langfuse.com/project/cmu2j8vra0137ad0clp5vylx2/traces/b5b7bf75299d5fe23ad42a3f881c322d</v>
      </c>
    </row>
    <row r="70" ht="40" customHeight="1">
      <c r="A70" s="3" t="str">
        <v>P3</v>
      </c>
      <c r="B70" s="3" t="str">
        <v>Common Muse reconciliation</v>
      </c>
      <c r="C70" s="3" t="str">
        <v>Langfuse trace</v>
      </c>
      <c r="D70" s="23" t="str">
        <v>Open Langfuse trace</v>
      </c>
      <c r="E70" s="3" t="str"/>
      <c r="F70" s="3" t="str">
        <v>https://us.cloud.langfuse.com/project/cmu2j8vra0137ad0clp5vylx2/traces/1dad2e49b76d56685760a078906793b7</v>
      </c>
    </row>
    <row r="71" ht="40" customHeight="1">
      <c r="A71" s="10" t="str">
        <v>P3</v>
      </c>
      <c r="B71" s="10" t="str">
        <v>Run</v>
      </c>
      <c r="C71" s="10" t="str">
        <v>model-calls.csv</v>
      </c>
      <c r="D71" s="24" t="str">
        <v>Open model-calls.csv</v>
      </c>
      <c r="E71" s="10" t="str"/>
      <c r="F71" s="10" t="str">
        <v>/Users/aryankeshri/conductor/workspaces/research-and-data/jerusalem-v1/.artifacts/research-model-comparison-20260928/muse-high/model-calls.csv</v>
      </c>
    </row>
    <row r="72" ht="40" customHeight="1">
      <c r="A72" s="3" t="str">
        <v>P3</v>
      </c>
      <c r="B72" s="3" t="str">
        <v>Run</v>
      </c>
      <c r="C72" s="3" t="str">
        <v>tool-activity.md</v>
      </c>
      <c r="D72" s="23" t="str">
        <v>Open tool-activity.md</v>
      </c>
      <c r="E72" s="3" t="str"/>
      <c r="F72" s="3" t="str">
        <v>/Users/aryankeshri/conductor/workspaces/research-and-data/jerusalem-v1/.artifacts/research-model-comparison-20260928/muse-high/tool-activity.md</v>
      </c>
    </row>
    <row r="73" ht="40" customHeight="1">
      <c r="A73" s="10" t="str">
        <v>P3</v>
      </c>
      <c r="B73" s="10" t="str">
        <v>Run</v>
      </c>
      <c r="C73" s="10" t="str">
        <v>tool-activity.json</v>
      </c>
      <c r="D73" s="24" t="str">
        <v>Open tool-activity.json</v>
      </c>
      <c r="E73" s="10" t="str"/>
      <c r="F73" s="10" t="str">
        <v>/Users/aryankeshri/conductor/workspaces/research-and-data/jerusalem-v1/.artifacts/research-model-comparison-20260928/muse-high/tool-activity.json</v>
      </c>
    </row>
    <row r="74" ht="40" customHeight="1">
      <c r="A74" s="3" t="str">
        <v>P3</v>
      </c>
      <c r="B74" s="3" t="str">
        <v>Run</v>
      </c>
      <c r="C74" s="3" t="str">
        <v>provider-attempts.json</v>
      </c>
      <c r="D74" s="23" t="str">
        <v>Open provider-attempts.json</v>
      </c>
      <c r="E74" s="3" t="str"/>
      <c r="F74" s="3" t="str">
        <v>/Users/aryankeshri/conductor/workspaces/research-and-data/jerusalem-v1/.artifacts/research-model-comparison-20260928/muse-high/provider-attempts.json</v>
      </c>
    </row>
    <row r="75" ht="40" customHeight="1">
      <c r="A75" s="10" t="str">
        <v>P3</v>
      </c>
      <c r="B75" s="10" t="str">
        <v>Run</v>
      </c>
      <c r="C75" s="10" t="str">
        <v>all-raw/manifest.json</v>
      </c>
      <c r="D75" s="24" t="str">
        <v>Open all-raw/manifest.json</v>
      </c>
      <c r="E75" s="10" t="str"/>
      <c r="F75" s="10" t="str">
        <v>/Users/aryankeshri/conductor/workspaces/research-and-data/jerusalem-v1/.artifacts/arv4-insight-premier-muse-high-20260928-run05/all-raw/manifest.json</v>
      </c>
    </row>
    <row r="76" ht="40" customHeight="1">
      <c r="A76" s="3" t="str">
        <v>P3</v>
      </c>
      <c r="B76" s="3" t="str">
        <v>Run</v>
      </c>
      <c r="C76" s="3" t="str">
        <v>trace-verification.json</v>
      </c>
      <c r="D76" s="23" t="str">
        <v>Open trace-verification.json</v>
      </c>
      <c r="E76" s="3" t="str"/>
      <c r="F76" s="3" t="str">
        <v>/Users/aryankeshri/conductor/workspaces/research-and-data/jerusalem-v1/.artifacts/arv4-insight-premier-muse-high-20260928-run05/trace-verification.json</v>
      </c>
    </row>
    <row r="77" ht="40" customHeight="1">
      <c r="A77" s="10" t="str">
        <v>P3</v>
      </c>
      <c r="B77" s="10" t="str">
        <v>Run</v>
      </c>
      <c r="C77" s="10" t="str">
        <v>review/provider_call_ledger.json</v>
      </c>
      <c r="D77" s="24" t="str">
        <v>Open review/provider_call_ledger.json</v>
      </c>
      <c r="E77" s="10" t="str"/>
      <c r="F77" s="10" t="str">
        <v>/Users/aryankeshri/conductor/workspaces/research-and-data/jerusalem-v1/.artifacts/arv4-insight-premier-muse-high-20260928-run05/review/provider_call_ledger.json</v>
      </c>
    </row>
    <row r="78" ht="54" customHeight="1">
      <c r="A78" s="3" t="str">
        <v>P4</v>
      </c>
      <c r="B78" s="3" t="str">
        <v>Premier Gastroenterology</v>
      </c>
      <c r="C78" s="3" t="str">
        <v>Initial claim JSON</v>
      </c>
      <c r="D78" s="23" t="str">
        <v>Open Initial claim JSON</v>
      </c>
      <c r="E78" s="3" t="str"/>
      <c r="F78" s="3" t="str">
        <v>/Users/aryankeshri/conductor/workspaces/research-and-data/jerusalem-v1/.artifacts/arv4-insight-premier-grok47-high-20260928-run06/review/c80f26cc-33e8-5529-b018-84f06ccbb325/dossier.json</v>
      </c>
    </row>
    <row r="79" ht="54" customHeight="1">
      <c r="A79" s="10" t="str">
        <v>P4</v>
      </c>
      <c r="B79" s="10" t="str">
        <v>Premier Gastroenterology</v>
      </c>
      <c r="C79" s="10" t="str">
        <v>Latest claim JSON</v>
      </c>
      <c r="D79" s="24" t="str">
        <v>Open Latest claim JSON</v>
      </c>
      <c r="E79" s="10" t="str"/>
      <c r="F79" s="10" t="str">
        <v>/Users/aryankeshri/conductor/workspaces/research-and-data/jerusalem-v1/.artifacts/arv4-insight-premier-grok47-high-20260928-run06/review/c80f26cc-33e8-5529-b018-84f06ccbb325/dossier.json</v>
      </c>
    </row>
    <row r="80" ht="54" customHeight="1">
      <c r="A80" s="3" t="str">
        <v>P4</v>
      </c>
      <c r="B80" s="3" t="str">
        <v>Premier Gastroenterology</v>
      </c>
      <c r="C80" s="3" t="str">
        <v>Readable dossier</v>
      </c>
      <c r="D80" s="23" t="str">
        <v>Open Readable dossier</v>
      </c>
      <c r="E80" s="3" t="str"/>
      <c r="F80" s="3" t="str">
        <v>/Users/aryankeshri/conductor/workspaces/research-and-data/jerusalem-v1/.artifacts/arv4-insight-premier-grok47-high-20260928-run06/review/c80f26cc-33e8-5529-b018-84f06ccbb325/dossier.md</v>
      </c>
    </row>
    <row r="81" ht="40" customHeight="1">
      <c r="A81" s="10" t="str">
        <v>P4</v>
      </c>
      <c r="B81" s="10" t="str">
        <v>Premier Gastroenterology</v>
      </c>
      <c r="C81" s="10" t="str">
        <v>Researcher narrative</v>
      </c>
      <c r="D81" s="10" t="str">
        <v>Not produced / unavailable</v>
      </c>
      <c r="E81" s="10" t="str"/>
      <c r="F81" s="10"/>
    </row>
    <row r="82" ht="40" customHeight="1">
      <c r="A82" s="3" t="str">
        <v>P4</v>
      </c>
      <c r="B82" s="3" t="str">
        <v>Premier Gastroenterology</v>
      </c>
      <c r="C82" s="3" t="str">
        <v>Final narrative</v>
      </c>
      <c r="D82" s="23" t="str">
        <v>Open Final narrative</v>
      </c>
      <c r="E82" s="3" t="str">
        <v>Written by common Muse reconciler, not Grok.</v>
      </c>
      <c r="F82" s="3" t="str">
        <v>/Users/aryankeshri/conductor/workspaces/research-and-data/jerusalem-v1/.artifacts/arv4-insight-premier-grok47-high-20260928-run06/account/page.md</v>
      </c>
    </row>
    <row r="83" ht="40" customHeight="1">
      <c r="A83" s="10" t="str">
        <v>P4</v>
      </c>
      <c r="B83" s="10" t="str">
        <v>Premier Gastroenterology</v>
      </c>
      <c r="C83" s="10" t="str">
        <v>Unpublished draft</v>
      </c>
      <c r="D83" s="10" t="str">
        <v>Not produced / unavailable</v>
      </c>
      <c r="E83" s="10" t="str"/>
      <c r="F83" s="10"/>
    </row>
    <row r="84" ht="40" customHeight="1">
      <c r="A84" s="3" t="str">
        <v>P4</v>
      </c>
      <c r="B84" s="3" t="str">
        <v>Premier Gastroenterology</v>
      </c>
      <c r="C84" s="3" t="str">
        <v>Timing audit</v>
      </c>
      <c r="D84" s="23" t="str">
        <v>Open Timing audit</v>
      </c>
      <c r="E84" s="3" t="str"/>
      <c r="F84" s="3" t="str">
        <v>/Users/aryankeshri/conductor/workspaces/research-and-data/jerusalem-v1/.artifacts/arv4-insight-premier-grok47-high-20260928-run06/timing.json</v>
      </c>
    </row>
    <row r="85" ht="40" customHeight="1">
      <c r="A85" s="10" t="str">
        <v>P4</v>
      </c>
      <c r="B85" s="10" t="str">
        <v>Premier Gastroenterology</v>
      </c>
      <c r="C85" s="10" t="str">
        <v>Langfuse execution</v>
      </c>
      <c r="D85" s="24" t="str">
        <v>Open Langfuse execution</v>
      </c>
      <c r="E85" s="10" t="str">
        <v>Observable model/tool activity; effort is requested configuration.</v>
      </c>
      <c r="F85" s="10" t="str">
        <v>https://us.cloud.langfuse.com/project/cmu2j8vra0137ad0clp5vylx2/traces/2ceb395b6e16ab3d6234f31b99e250ec</v>
      </c>
    </row>
    <row r="86" ht="54" customHeight="1">
      <c r="A86" s="3" t="str">
        <v>P4</v>
      </c>
      <c r="B86" s="3" t="str">
        <v>Todd Greer</v>
      </c>
      <c r="C86" s="3" t="str">
        <v>Initial claim JSON</v>
      </c>
      <c r="D86" s="23" t="str">
        <v>Open Initial claim JSON</v>
      </c>
      <c r="E86" s="3" t="str"/>
      <c r="F86" s="3" t="str">
        <v>/Users/aryankeshri/conductor/workspaces/research-and-data/jerusalem-v1/.artifacts/arv4-insight-premier-grok47-high-20260928-run06/review/6bc03f41-fd75-5ce8-998d-6ec983efd86c/dossier.json</v>
      </c>
    </row>
    <row r="87" ht="54" customHeight="1">
      <c r="A87" s="10" t="str">
        <v>P4</v>
      </c>
      <c r="B87" s="10" t="str">
        <v>Todd Greer</v>
      </c>
      <c r="C87" s="10" t="str">
        <v>Latest claim JSON</v>
      </c>
      <c r="D87" s="24" t="str">
        <v>Open Latest claim JSON</v>
      </c>
      <c r="E87" s="10" t="str"/>
      <c r="F87" s="10" t="str">
        <v>/Users/aryankeshri/conductor/workspaces/research-and-data/jerusalem-v1/.artifacts/arv4-insight-premier-grok47-high-20260928-run06/review/6bc03f41-fd75-5ce8-998d-6ec983efd86c/dossier.json</v>
      </c>
    </row>
    <row r="88" ht="54" customHeight="1">
      <c r="A88" s="3" t="str">
        <v>P4</v>
      </c>
      <c r="B88" s="3" t="str">
        <v>Todd Greer</v>
      </c>
      <c r="C88" s="3" t="str">
        <v>Readable dossier</v>
      </c>
      <c r="D88" s="23" t="str">
        <v>Open Readable dossier</v>
      </c>
      <c r="E88" s="3" t="str"/>
      <c r="F88" s="3" t="str">
        <v>/Users/aryankeshri/conductor/workspaces/research-and-data/jerusalem-v1/.artifacts/arv4-insight-premier-grok47-high-20260928-run06/review/6bc03f41-fd75-5ce8-998d-6ec983efd86c/dossier.md</v>
      </c>
    </row>
    <row r="89" ht="40" customHeight="1">
      <c r="A89" s="10" t="str">
        <v>P4</v>
      </c>
      <c r="B89" s="10" t="str">
        <v>Todd Greer</v>
      </c>
      <c r="C89" s="10" t="str">
        <v>Researcher narrative</v>
      </c>
      <c r="D89" s="24" t="str">
        <v>Open Researcher narrative</v>
      </c>
      <c r="E89" s="10" t="str"/>
      <c r="F89" s="10" t="str">
        <v>/Users/aryankeshri/conductor/workspaces/research-and-data/jerusalem-v1/.artifacts/arv4-insight-premier-grok47-high-20260928-run06/person/page.md</v>
      </c>
    </row>
    <row r="90" ht="40" customHeight="1">
      <c r="A90" s="3" t="str">
        <v>P4</v>
      </c>
      <c r="B90" s="3" t="str">
        <v>Todd Greer</v>
      </c>
      <c r="C90" s="3" t="str">
        <v>Final narrative</v>
      </c>
      <c r="D90" s="23" t="str">
        <v>Open Final narrative</v>
      </c>
      <c r="E90" s="3" t="str"/>
      <c r="F90" s="3" t="str">
        <v>/Users/aryankeshri/conductor/workspaces/research-and-data/jerusalem-v1/.artifacts/arv4-insight-premier-grok47-high-20260928-run06/person/page.md</v>
      </c>
    </row>
    <row r="91" ht="40" customHeight="1">
      <c r="A91" s="10" t="str">
        <v>P4</v>
      </c>
      <c r="B91" s="10" t="str">
        <v>Todd Greer</v>
      </c>
      <c r="C91" s="10" t="str">
        <v>Unpublished draft</v>
      </c>
      <c r="D91" s="10" t="str">
        <v>Not produced / unavailable</v>
      </c>
      <c r="E91" s="10" t="str"/>
      <c r="F91" s="10"/>
    </row>
    <row r="92" ht="40" customHeight="1">
      <c r="A92" s="3" t="str">
        <v>P4</v>
      </c>
      <c r="B92" s="3" t="str">
        <v>Todd Greer</v>
      </c>
      <c r="C92" s="3" t="str">
        <v>Timing audit</v>
      </c>
      <c r="D92" s="23" t="str">
        <v>Open Timing audit</v>
      </c>
      <c r="E92" s="3" t="str"/>
      <c r="F92" s="3" t="str">
        <v>/Users/aryankeshri/conductor/workspaces/research-and-data/jerusalem-v1/.artifacts/arv4-insight-premier-grok47-high-20260928-run06/timing.json</v>
      </c>
    </row>
    <row r="93" ht="40" customHeight="1">
      <c r="A93" s="10" t="str">
        <v>P4</v>
      </c>
      <c r="B93" s="10" t="str">
        <v>Todd Greer</v>
      </c>
      <c r="C93" s="10" t="str">
        <v>Langfuse execution</v>
      </c>
      <c r="D93" s="24" t="str">
        <v>Open Langfuse execution</v>
      </c>
      <c r="E93" s="10" t="str">
        <v>Observable model/tool activity; effort is requested configuration.</v>
      </c>
      <c r="F93" s="10" t="str">
        <v>https://us.cloud.langfuse.com/project/cmu2j8vra0137ad0clp5vylx2/traces/6a3fba686d19cf48dcb3269535fa8325</v>
      </c>
    </row>
    <row r="94" ht="40" customHeight="1">
      <c r="A94" s="3" t="str">
        <v>P4</v>
      </c>
      <c r="B94" s="3" t="str">
        <v>Run</v>
      </c>
      <c r="C94" s="3" t="str">
        <v>Run report</v>
      </c>
      <c r="D94" s="23" t="str">
        <v>Open Run report</v>
      </c>
      <c r="E94" s="3" t="str"/>
      <c r="F94" s="3" t="str">
        <v>/Users/aryankeshri/conductor/workspaces/research-and-data/jerusalem-v1/.artifacts/arv4-insight-premier-grok47-high-20260928-run06/REPORT.md</v>
      </c>
    </row>
    <row r="95" ht="40" customHeight="1">
      <c r="A95" s="10" t="str">
        <v>P4</v>
      </c>
      <c r="B95" s="10" t="str">
        <v>Run / continuation</v>
      </c>
      <c r="C95" s="10" t="str">
        <v>Langfuse trace</v>
      </c>
      <c r="D95" s="24" t="str">
        <v>Open Langfuse trace</v>
      </c>
      <c r="E95" s="10" t="str"/>
      <c r="F95" s="10" t="str">
        <v>https://us.cloud.langfuse.com/project/cmu2j8vra0137ad0clp5vylx2/traces/2ceb395b6e16ab3d6234f31b99e250ec</v>
      </c>
    </row>
    <row r="96" ht="40" customHeight="1">
      <c r="A96" s="3" t="str">
        <v>P4</v>
      </c>
      <c r="B96" s="3" t="str">
        <v>Run / continuation</v>
      </c>
      <c r="C96" s="3" t="str">
        <v>Langfuse trace</v>
      </c>
      <c r="D96" s="23" t="str">
        <v>Open Langfuse trace</v>
      </c>
      <c r="E96" s="3" t="str"/>
      <c r="F96" s="3" t="str">
        <v>https://us.cloud.langfuse.com/project/cmu2j8vra0137ad0clp5vylx2/traces/6a3fba686d19cf48dcb3269535fa8325</v>
      </c>
    </row>
    <row r="97" ht="40" customHeight="1">
      <c r="A97" s="10" t="str">
        <v>P4</v>
      </c>
      <c r="B97" s="10" t="str">
        <v>Common Muse reconciliation</v>
      </c>
      <c r="C97" s="10" t="str">
        <v>Langfuse trace</v>
      </c>
      <c r="D97" s="24" t="str">
        <v>Open Langfuse trace</v>
      </c>
      <c r="E97" s="10" t="str"/>
      <c r="F97" s="10" t="str">
        <v>https://us.cloud.langfuse.com/project/cmu2j8vra0137ad0clp5vylx2/traces/67b24c401be993adce8c82581a7d4189</v>
      </c>
    </row>
    <row r="98" ht="40" customHeight="1">
      <c r="A98" s="3" t="str">
        <v>P4</v>
      </c>
      <c r="B98" s="3" t="str">
        <v>Run</v>
      </c>
      <c r="C98" s="3" t="str">
        <v>model-calls.csv</v>
      </c>
      <c r="D98" s="23" t="str">
        <v>Open model-calls.csv</v>
      </c>
      <c r="E98" s="3" t="str"/>
      <c r="F98" s="3" t="str">
        <v>/Users/aryankeshri/conductor/workspaces/research-and-data/jerusalem-v1/.artifacts/research-model-comparison-20260928/grok-high/model-calls.csv</v>
      </c>
    </row>
    <row r="99" ht="40" customHeight="1">
      <c r="A99" s="10" t="str">
        <v>P4</v>
      </c>
      <c r="B99" s="10" t="str">
        <v>Run</v>
      </c>
      <c r="C99" s="10" t="str">
        <v>tool-activity.md</v>
      </c>
      <c r="D99" s="24" t="str">
        <v>Open tool-activity.md</v>
      </c>
      <c r="E99" s="10" t="str"/>
      <c r="F99" s="10" t="str">
        <v>/Users/aryankeshri/conductor/workspaces/research-and-data/jerusalem-v1/.artifacts/research-model-comparison-20260928/grok-high/tool-activity.md</v>
      </c>
    </row>
    <row r="100" ht="40" customHeight="1">
      <c r="A100" s="3" t="str">
        <v>P4</v>
      </c>
      <c r="B100" s="3" t="str">
        <v>Run</v>
      </c>
      <c r="C100" s="3" t="str">
        <v>tool-activity.json</v>
      </c>
      <c r="D100" s="23" t="str">
        <v>Open tool-activity.json</v>
      </c>
      <c r="E100" s="3" t="str"/>
      <c r="F100" s="3" t="str">
        <v>/Users/aryankeshri/conductor/workspaces/research-and-data/jerusalem-v1/.artifacts/research-model-comparison-20260928/grok-high/tool-activity.json</v>
      </c>
    </row>
    <row r="101" ht="40" customHeight="1">
      <c r="A101" s="10" t="str">
        <v>P4</v>
      </c>
      <c r="B101" s="10" t="str">
        <v>Run</v>
      </c>
      <c r="C101" s="10" t="str">
        <v>provider-attempts.json</v>
      </c>
      <c r="D101" s="24" t="str">
        <v>Open provider-attempts.json</v>
      </c>
      <c r="E101" s="10" t="str"/>
      <c r="F101" s="10" t="str">
        <v>/Users/aryankeshri/conductor/workspaces/research-and-data/jerusalem-v1/.artifacts/research-model-comparison-20260928/grok-high/provider-attempts.json</v>
      </c>
    </row>
    <row r="102" ht="40" customHeight="1">
      <c r="A102" s="3" t="str">
        <v>P4</v>
      </c>
      <c r="B102" s="3" t="str">
        <v>Run</v>
      </c>
      <c r="C102" s="3" t="str">
        <v>all-raw/manifest.json</v>
      </c>
      <c r="D102" s="23" t="str">
        <v>Open all-raw/manifest.json</v>
      </c>
      <c r="E102" s="3" t="str"/>
      <c r="F102" s="3" t="str">
        <v>/Users/aryankeshri/conductor/workspaces/research-and-data/jerusalem-v1/.artifacts/arv4-insight-premier-grok47-high-20260928-run06/all-raw/manifest.json</v>
      </c>
    </row>
    <row r="103" ht="40" customHeight="1">
      <c r="A103" s="10" t="str">
        <v>P4</v>
      </c>
      <c r="B103" s="10" t="str">
        <v>Run</v>
      </c>
      <c r="C103" s="10" t="str">
        <v>trace-verification.json</v>
      </c>
      <c r="D103" s="24" t="str">
        <v>Open trace-verification.json</v>
      </c>
      <c r="E103" s="10" t="str"/>
      <c r="F103" s="10" t="str">
        <v>/Users/aryankeshri/conductor/workspaces/research-and-data/jerusalem-v1/.artifacts/arv4-insight-premier-grok47-high-20260928-run06/trace-verification.json</v>
      </c>
    </row>
    <row r="104" ht="40" customHeight="1">
      <c r="A104" s="3" t="str">
        <v>P4</v>
      </c>
      <c r="B104" s="3" t="str">
        <v>Run</v>
      </c>
      <c r="C104" s="3" t="str">
        <v>review/provider_call_ledger.json</v>
      </c>
      <c r="D104" s="23" t="str">
        <v>Open review/provider_call_ledger.json</v>
      </c>
      <c r="E104" s="3" t="str"/>
      <c r="F104" s="3" t="str">
        <v>/Users/aryankeshri/conductor/workspaces/research-and-data/jerusalem-v1/.artifacts/arv4-insight-premier-grok47-high-20260928-run06/review/provider_call_ledger.json</v>
      </c>
    </row>
    <row r="105" ht="54" customHeight="1">
      <c r="A105" s="10" t="str">
        <v>P5</v>
      </c>
      <c r="B105" s="10" t="str">
        <v>Premier Gastroenterology</v>
      </c>
      <c r="C105" s="10" t="str">
        <v>Initial claim JSON</v>
      </c>
      <c r="D105" s="24" t="str">
        <v>Open Initial claim JSON</v>
      </c>
      <c r="E105" s="10" t="str"/>
      <c r="F105" s="10" t="str">
        <v>/Users/aryankeshri/conductor/workspaces/research-and-data/jerusalem-v1/.artifacts/arv4-insight-premier-muse-xhigh-20260928-run07/review/c80f26cc-33e8-5529-b018-84f06ccbb325/dossier.json</v>
      </c>
    </row>
    <row r="106" ht="54" customHeight="1">
      <c r="A106" s="3" t="str">
        <v>P5</v>
      </c>
      <c r="B106" s="3" t="str">
        <v>Premier Gastroenterology</v>
      </c>
      <c r="C106" s="3" t="str">
        <v>Latest claim JSON</v>
      </c>
      <c r="D106" s="23" t="str">
        <v>Open Latest claim JSON</v>
      </c>
      <c r="E106" s="3" t="str"/>
      <c r="F106" s="3" t="str">
        <v>/Users/aryankeshri/conductor/workspaces/research-and-data/jerusalem-v1/.artifacts/arv4-insight-premier-muse-xhigh-20260928-run07/review/c80f26cc-33e8-5529-b018-84f06ccbb325/dossier.json</v>
      </c>
    </row>
    <row r="107" ht="54" customHeight="1">
      <c r="A107" s="10" t="str">
        <v>P5</v>
      </c>
      <c r="B107" s="10" t="str">
        <v>Premier Gastroenterology</v>
      </c>
      <c r="C107" s="10" t="str">
        <v>Readable dossier</v>
      </c>
      <c r="D107" s="24" t="str">
        <v>Open Readable dossier</v>
      </c>
      <c r="E107" s="10" t="str"/>
      <c r="F107" s="10" t="str">
        <v>/Users/aryankeshri/conductor/workspaces/research-and-data/jerusalem-v1/.artifacts/arv4-insight-premier-muse-xhigh-20260928-run07/review/c80f26cc-33e8-5529-b018-84f06ccbb325/dossier.md</v>
      </c>
    </row>
    <row r="108" ht="40" customHeight="1">
      <c r="A108" s="3" t="str">
        <v>P5</v>
      </c>
      <c r="B108" s="3" t="str">
        <v>Premier Gastroenterology</v>
      </c>
      <c r="C108" s="3" t="str">
        <v>Researcher narrative</v>
      </c>
      <c r="D108" s="23" t="str">
        <v>Open Researcher narrative</v>
      </c>
      <c r="E108" s="3" t="str"/>
      <c r="F108" s="3" t="str">
        <v>/Users/aryankeshri/conductor/workspaces/research-and-data/jerusalem-v1/.artifacts/arv4-insight-premier-muse-xhigh-20260928-run07/account-initial/page.md</v>
      </c>
    </row>
    <row r="109" ht="40" customHeight="1">
      <c r="A109" s="10" t="str">
        <v>P5</v>
      </c>
      <c r="B109" s="10" t="str">
        <v>Premier Gastroenterology</v>
      </c>
      <c r="C109" s="10" t="str">
        <v>Final narrative</v>
      </c>
      <c r="D109" s="24" t="str">
        <v>Open Final narrative</v>
      </c>
      <c r="E109" s="10" t="str"/>
      <c r="F109" s="10" t="str">
        <v>/Users/aryankeshri/conductor/workspaces/research-and-data/jerusalem-v1/.artifacts/arv4-insight-premier-muse-xhigh-20260928-run07/account/page.md</v>
      </c>
    </row>
    <row r="110" ht="40" customHeight="1">
      <c r="A110" s="3" t="str">
        <v>P5</v>
      </c>
      <c r="B110" s="3" t="str">
        <v>Premier Gastroenterology</v>
      </c>
      <c r="C110" s="3" t="str">
        <v>Unpublished draft</v>
      </c>
      <c r="D110" s="3" t="str">
        <v>Not produced / unavailable</v>
      </c>
      <c r="E110" s="3" t="str"/>
      <c r="F110" s="3"/>
    </row>
    <row r="111" ht="40" customHeight="1">
      <c r="A111" s="10" t="str">
        <v>P5</v>
      </c>
      <c r="B111" s="10" t="str">
        <v>Premier Gastroenterology</v>
      </c>
      <c r="C111" s="10" t="str">
        <v>Timing audit</v>
      </c>
      <c r="D111" s="24" t="str">
        <v>Open Timing audit</v>
      </c>
      <c r="E111" s="10" t="str"/>
      <c r="F111" s="10" t="str">
        <v>/Users/aryankeshri/conductor/workspaces/research-and-data/jerusalem-v1/.artifacts/arv4-insight-premier-muse-xhigh-20260928-run07/timing.json</v>
      </c>
    </row>
    <row r="112" ht="40" customHeight="1">
      <c r="A112" s="3" t="str">
        <v>P5</v>
      </c>
      <c r="B112" s="3" t="str">
        <v>Premier Gastroenterology</v>
      </c>
      <c r="C112" s="3" t="str">
        <v>Langfuse execution</v>
      </c>
      <c r="D112" s="23" t="str">
        <v>Open Langfuse execution</v>
      </c>
      <c r="E112" s="3" t="str">
        <v>Observable model/tool activity; effort is requested configuration.</v>
      </c>
      <c r="F112" s="3" t="str">
        <v>https://us.cloud.langfuse.com/project/cmu2j8vra0137ad0clp5vylx2/traces/a482c413306719771392836e4fc118b1</v>
      </c>
    </row>
    <row r="113" ht="40" customHeight="1">
      <c r="A113" s="10" t="str">
        <v>P5</v>
      </c>
      <c r="B113" s="10" t="str">
        <v>Todd Greer</v>
      </c>
      <c r="C113" s="10" t="str">
        <v>Initial claim JSON</v>
      </c>
      <c r="D113" s="10" t="str">
        <v>Not produced / unavailable</v>
      </c>
      <c r="E113" s="10" t="str"/>
      <c r="F113" s="10"/>
    </row>
    <row r="114" ht="40" customHeight="1">
      <c r="A114" s="3" t="str">
        <v>P5</v>
      </c>
      <c r="B114" s="3" t="str">
        <v>Todd Greer</v>
      </c>
      <c r="C114" s="3" t="str">
        <v>Latest claim JSON</v>
      </c>
      <c r="D114" s="3" t="str">
        <v>Not produced / unavailable</v>
      </c>
      <c r="E114" s="3" t="str"/>
      <c r="F114" s="3"/>
    </row>
    <row r="115" ht="40" customHeight="1">
      <c r="A115" s="10" t="str">
        <v>P5</v>
      </c>
      <c r="B115" s="10" t="str">
        <v>Todd Greer</v>
      </c>
      <c r="C115" s="10" t="str">
        <v>Readable dossier</v>
      </c>
      <c r="D115" s="10" t="str">
        <v>Not produced / unavailable</v>
      </c>
      <c r="E115" s="10" t="str"/>
      <c r="F115" s="10"/>
    </row>
    <row r="116" ht="40" customHeight="1">
      <c r="A116" s="3" t="str">
        <v>P5</v>
      </c>
      <c r="B116" s="3" t="str">
        <v>Todd Greer</v>
      </c>
      <c r="C116" s="3" t="str">
        <v>Researcher narrative</v>
      </c>
      <c r="D116" s="3" t="str">
        <v>Not produced / unavailable</v>
      </c>
      <c r="E116" s="3" t="str"/>
      <c r="F116" s="3"/>
    </row>
    <row r="117" ht="40" customHeight="1">
      <c r="A117" s="10" t="str">
        <v>P5</v>
      </c>
      <c r="B117" s="10" t="str">
        <v>Todd Greer</v>
      </c>
      <c r="C117" s="10" t="str">
        <v>Final narrative</v>
      </c>
      <c r="D117" s="10" t="str">
        <v>Not produced / unavailable</v>
      </c>
      <c r="E117" s="10" t="str"/>
      <c r="F117" s="10"/>
    </row>
    <row r="118" ht="40" customHeight="1">
      <c r="A118" s="3" t="str">
        <v>P5</v>
      </c>
      <c r="B118" s="3" t="str">
        <v>Todd Greer</v>
      </c>
      <c r="C118" s="3" t="str">
        <v>Unpublished draft</v>
      </c>
      <c r="D118" s="3" t="str">
        <v>Not produced / unavailable</v>
      </c>
      <c r="E118" s="3" t="str"/>
      <c r="F118" s="3"/>
    </row>
    <row r="119" ht="40" customHeight="1">
      <c r="A119" s="10" t="str">
        <v>P5</v>
      </c>
      <c r="B119" s="10" t="str">
        <v>Todd Greer</v>
      </c>
      <c r="C119" s="10" t="str">
        <v>Timing audit</v>
      </c>
      <c r="D119" s="24" t="str">
        <v>Open Timing audit</v>
      </c>
      <c r="E119" s="10" t="str"/>
      <c r="F119" s="10" t="str">
        <v>/Users/aryankeshri/conductor/workspaces/research-and-data/jerusalem-v1/.artifacts/arv4-insight-premier-muse-xhigh-20260928-run07/timing.json</v>
      </c>
    </row>
    <row r="120" ht="40" customHeight="1">
      <c r="A120" s="3" t="str">
        <v>P5</v>
      </c>
      <c r="B120" s="3" t="str">
        <v>Todd Greer</v>
      </c>
      <c r="C120" s="3" t="str">
        <v>Langfuse execution</v>
      </c>
      <c r="D120" s="23" t="str">
        <v>Open Langfuse execution</v>
      </c>
      <c r="E120" s="3" t="str">
        <v>Observable model/tool activity; effort is requested configuration.</v>
      </c>
      <c r="F120" s="3" t="str">
        <v>https://us.cloud.langfuse.com/project/cmu2j8vra0137ad0clp5vylx2/traces/bce5b184ae936c1b2f630ecd0b477137</v>
      </c>
    </row>
    <row r="121" ht="40" customHeight="1">
      <c r="A121" s="10" t="str">
        <v>P5</v>
      </c>
      <c r="B121" s="10" t="str">
        <v>Run</v>
      </c>
      <c r="C121" s="10" t="str">
        <v>Run report</v>
      </c>
      <c r="D121" s="24" t="str">
        <v>Open Run report</v>
      </c>
      <c r="E121" s="10" t="str"/>
      <c r="F121" s="10" t="str">
        <v>/Users/aryankeshri/conductor/workspaces/research-and-data/jerusalem-v1/.artifacts/research-model-comparison-20260928/XHIGH.md</v>
      </c>
    </row>
    <row r="122" ht="40" customHeight="1">
      <c r="A122" s="3" t="str">
        <v>P5</v>
      </c>
      <c r="B122" s="3" t="str">
        <v>Run / continuation</v>
      </c>
      <c r="C122" s="3" t="str">
        <v>Langfuse trace</v>
      </c>
      <c r="D122" s="23" t="str">
        <v>Open Langfuse trace</v>
      </c>
      <c r="E122" s="3" t="str"/>
      <c r="F122" s="3" t="str">
        <v>https://us.cloud.langfuse.com/project/cmu2j8vra0137ad0clp5vylx2/traces/a482c413306719771392836e4fc118b1</v>
      </c>
    </row>
    <row r="123" ht="40" customHeight="1">
      <c r="A123" s="10" t="str">
        <v>P5</v>
      </c>
      <c r="B123" s="10" t="str">
        <v>Run / continuation</v>
      </c>
      <c r="C123" s="10" t="str">
        <v>Langfuse trace</v>
      </c>
      <c r="D123" s="24" t="str">
        <v>Open Langfuse trace</v>
      </c>
      <c r="E123" s="10" t="str"/>
      <c r="F123" s="10" t="str">
        <v>https://us.cloud.langfuse.com/project/cmu2j8vra0137ad0clp5vylx2/traces/bce5b184ae936c1b2f630ecd0b477137</v>
      </c>
    </row>
    <row r="124" ht="40" customHeight="1">
      <c r="A124" s="3" t="str">
        <v>P5</v>
      </c>
      <c r="B124" s="3" t="str">
        <v>Run</v>
      </c>
      <c r="C124" s="3" t="str">
        <v>model-calls.csv</v>
      </c>
      <c r="D124" s="23" t="str">
        <v>Open model-calls.csv</v>
      </c>
      <c r="E124" s="3" t="str"/>
      <c r="F124" s="3" t="str">
        <v>/Users/aryankeshri/conductor/workspaces/research-and-data/jerusalem-v1/.artifacts/research-model-comparison-20260928/muse-xhigh/model-calls.csv</v>
      </c>
    </row>
    <row r="125" ht="40" customHeight="1">
      <c r="A125" s="10" t="str">
        <v>P5</v>
      </c>
      <c r="B125" s="10" t="str">
        <v>Run</v>
      </c>
      <c r="C125" s="10" t="str">
        <v>tool-activity.md</v>
      </c>
      <c r="D125" s="24" t="str">
        <v>Open tool-activity.md</v>
      </c>
      <c r="E125" s="10" t="str"/>
      <c r="F125" s="10" t="str">
        <v>/Users/aryankeshri/conductor/workspaces/research-and-data/jerusalem-v1/.artifacts/research-model-comparison-20260928/muse-xhigh/tool-activity.md</v>
      </c>
    </row>
    <row r="126" ht="40" customHeight="1">
      <c r="A126" s="3" t="str">
        <v>P5</v>
      </c>
      <c r="B126" s="3" t="str">
        <v>Run</v>
      </c>
      <c r="C126" s="3" t="str">
        <v>tool-activity.json</v>
      </c>
      <c r="D126" s="23" t="str">
        <v>Open tool-activity.json</v>
      </c>
      <c r="E126" s="3" t="str"/>
      <c r="F126" s="3" t="str">
        <v>/Users/aryankeshri/conductor/workspaces/research-and-data/jerusalem-v1/.artifacts/research-model-comparison-20260928/muse-xhigh/tool-activity.json</v>
      </c>
    </row>
    <row r="127" ht="40" customHeight="1">
      <c r="A127" s="10" t="str">
        <v>P5</v>
      </c>
      <c r="B127" s="10" t="str">
        <v>Run</v>
      </c>
      <c r="C127" s="10" t="str">
        <v>provider-attempts.json</v>
      </c>
      <c r="D127" s="24" t="str">
        <v>Open provider-attempts.json</v>
      </c>
      <c r="E127" s="10" t="str"/>
      <c r="F127" s="10" t="str">
        <v>/Users/aryankeshri/conductor/workspaces/research-and-data/jerusalem-v1/.artifacts/research-model-comparison-20260928/muse-xhigh/provider-attempts.json</v>
      </c>
    </row>
    <row r="128" ht="40" customHeight="1">
      <c r="A128" s="3" t="str">
        <v>P5</v>
      </c>
      <c r="B128" s="3" t="str">
        <v>Run</v>
      </c>
      <c r="C128" s="3" t="str">
        <v>all-raw/manifest.json</v>
      </c>
      <c r="D128" s="23" t="str">
        <v>Open all-raw/manifest.json</v>
      </c>
      <c r="E128" s="3" t="str"/>
      <c r="F128" s="3" t="str">
        <v>/Users/aryankeshri/conductor/workspaces/research-and-data/jerusalem-v1/.artifacts/arv4-insight-premier-muse-xhigh-20260928-run07/all-raw/manifest.json</v>
      </c>
    </row>
    <row r="129" ht="40" customHeight="1">
      <c r="A129" s="10" t="str">
        <v>P5</v>
      </c>
      <c r="B129" s="10" t="str">
        <v>Run</v>
      </c>
      <c r="C129" s="10" t="str">
        <v>trace-verification.json</v>
      </c>
      <c r="D129" s="24" t="str">
        <v>Open trace-verification.json</v>
      </c>
      <c r="E129" s="10" t="str"/>
      <c r="F129" s="10" t="str">
        <v>/Users/aryankeshri/conductor/workspaces/research-and-data/jerusalem-v1/.artifacts/arv4-insight-premier-muse-xhigh-20260928-run07/trace-verification.json</v>
      </c>
    </row>
    <row r="130" ht="40" customHeight="1">
      <c r="A130" s="3" t="str">
        <v>P5</v>
      </c>
      <c r="B130" s="3" t="str">
        <v>Run</v>
      </c>
      <c r="C130" s="3" t="str">
        <v>review/provider_call_ledger.json</v>
      </c>
      <c r="D130" s="23" t="str">
        <v>Open review/provider_call_ledger.json</v>
      </c>
      <c r="E130" s="3" t="str"/>
      <c r="F130" s="3" t="str">
        <v>/Users/aryankeshri/conductor/workspaces/research-and-data/jerusalem-v1/.artifacts/arv4-insight-premier-muse-xhigh-20260928-run07/review/provider_call_ledger.json</v>
      </c>
    </row>
    <row r="131" ht="54" customHeight="1">
      <c r="A131" s="10" t="str">
        <v>Z1</v>
      </c>
      <c r="B131" s="10" t="str">
        <v>Zafran Security</v>
      </c>
      <c r="C131" s="10" t="str">
        <v>dossier json</v>
      </c>
      <c r="D131" s="24" t="str">
        <v>Open dossier json</v>
      </c>
      <c r="E131" s="10" t="str"/>
      <c r="F131" s="10" t="str">
        <v>/Users/aryankeshri/conductor/workspaces/research-and-data/jerusalem-v1/.artifacts/zafran-three-model-medium-20260928/grok46/review/59d4870e-2207-56ca-a50b-e76ab86f6a53/dossier.json</v>
      </c>
    </row>
    <row r="132" ht="40" customHeight="1">
      <c r="A132" s="3" t="str">
        <v>Z1</v>
      </c>
      <c r="B132" s="3" t="str">
        <v>Zafran Security</v>
      </c>
      <c r="C132" s="3" t="str">
        <v>dossier readable</v>
      </c>
      <c r="D132" s="23" t="str">
        <v>Open dossier readable</v>
      </c>
      <c r="E132" s="3" t="str"/>
      <c r="F132" s="3" t="str">
        <v>/Users/aryankeshri/conductor/workspaces/research-and-data/jerusalem-v1/.artifacts/zafran-three-model-medium-20260928/grok46/review/59d4870e-2207-56ca-a50b-e76ab86f6a53/dossier.md</v>
      </c>
    </row>
    <row r="133" ht="40" customHeight="1">
      <c r="A133" s="10" t="str">
        <v>Z1</v>
      </c>
      <c r="B133" s="10" t="str">
        <v>Zafran Security</v>
      </c>
      <c r="C133" s="10" t="str">
        <v>narrative markdown</v>
      </c>
      <c r="D133" s="24" t="str">
        <v>Open narrative markdown</v>
      </c>
      <c r="E133" s="10" t="str">
        <v>Current stored page; initial researcher page listed separately.</v>
      </c>
      <c r="F133" s="10" t="str">
        <v>/Users/aryankeshri/conductor/workspaces/research-and-data/jerusalem-v1/.artifacts/zafran-three-model-medium-20260928/grok46/account/page.md</v>
      </c>
    </row>
    <row r="134" ht="40" customHeight="1">
      <c r="A134" s="3" t="str">
        <v>Z1</v>
      </c>
      <c r="B134" s="3" t="str">
        <v>Zafran Security</v>
      </c>
      <c r="C134" s="3" t="str">
        <v>narrative html</v>
      </c>
      <c r="D134" s="3" t="str">
        <v>Not produced / unavailable</v>
      </c>
      <c r="E134" s="3" t="str"/>
      <c r="F134" s="3"/>
    </row>
    <row r="135" ht="40" customHeight="1">
      <c r="A135" s="10" t="str">
        <v>Z1</v>
      </c>
      <c r="B135" s="10" t="str">
        <v>Zafran Security</v>
      </c>
      <c r="C135" s="10" t="str">
        <v>narrative blocks</v>
      </c>
      <c r="D135" s="24" t="str">
        <v>Open narrative blocks</v>
      </c>
      <c r="E135" s="10" t="str"/>
      <c r="F135" s="10" t="str">
        <v>/Users/aryankeshri/conductor/workspaces/research-and-data/jerusalem-v1/.artifacts/zafran-three-model-medium-20260928/grok46/account/display-blocks.json</v>
      </c>
    </row>
    <row r="136" ht="40" customHeight="1">
      <c r="A136" s="3" t="str">
        <v>Z1</v>
      </c>
      <c r="B136" s="3" t="str">
        <v>Zafran Security</v>
      </c>
      <c r="C136" s="3" t="str">
        <v>uncommitted narrative json</v>
      </c>
      <c r="D136" s="3" t="str">
        <v>Not produced / unavailable</v>
      </c>
      <c r="E136" s="3" t="str"/>
      <c r="F136" s="3"/>
    </row>
    <row r="137" ht="40" customHeight="1">
      <c r="A137" s="10" t="str">
        <v>Z1</v>
      </c>
      <c r="B137" s="10" t="str">
        <v>Zafran Security</v>
      </c>
      <c r="C137" s="10" t="str">
        <v>Langfuse execution</v>
      </c>
      <c r="D137" s="24" t="str">
        <v>Open Langfuse execution</v>
      </c>
      <c r="E137" s="10" t="str"/>
      <c r="F137" s="10" t="str">
        <v>https://us.cloud.langfuse.com/project/cmu2j8vra0137ad0clp5vylx2/traces/290f554826fcc0c26b41fa5069c958fa</v>
      </c>
    </row>
    <row r="138" ht="54" customHeight="1">
      <c r="A138" s="3" t="str">
        <v>Z1</v>
      </c>
      <c r="B138" s="3" t="str">
        <v>Vari Kaur</v>
      </c>
      <c r="C138" s="3" t="str">
        <v>dossier json</v>
      </c>
      <c r="D138" s="23" t="str">
        <v>Open dossier json</v>
      </c>
      <c r="E138" s="3" t="str"/>
      <c r="F138" s="3" t="str">
        <v>/Users/aryankeshri/conductor/workspaces/research-and-data/jerusalem-v1/.artifacts/zafran-three-model-medium-20260928/grok46/review/04070cd2-53e0-510c-8373-2f6511f15052/dossier.json</v>
      </c>
    </row>
    <row r="139" ht="40" customHeight="1">
      <c r="A139" s="10" t="str">
        <v>Z1</v>
      </c>
      <c r="B139" s="10" t="str">
        <v>Vari Kaur</v>
      </c>
      <c r="C139" s="10" t="str">
        <v>dossier readable</v>
      </c>
      <c r="D139" s="24" t="str">
        <v>Open dossier readable</v>
      </c>
      <c r="E139" s="10" t="str"/>
      <c r="F139" s="10" t="str">
        <v>/Users/aryankeshri/conductor/workspaces/research-and-data/jerusalem-v1/.artifacts/zafran-three-model-medium-20260928/grok46/review/04070cd2-53e0-510c-8373-2f6511f15052/dossier.md</v>
      </c>
    </row>
    <row r="140" ht="40" customHeight="1">
      <c r="A140" s="3" t="str">
        <v>Z1</v>
      </c>
      <c r="B140" s="3" t="str">
        <v>Vari Kaur</v>
      </c>
      <c r="C140" s="3" t="str">
        <v>narrative markdown</v>
      </c>
      <c r="D140" s="23" t="str">
        <v>Open narrative markdown</v>
      </c>
      <c r="E140" s="3" t="str"/>
      <c r="F140" s="3" t="str">
        <v>/Users/aryankeshri/conductor/workspaces/research-and-data/jerusalem-v1/.artifacts/zafran-three-model-medium-20260928/grok46/person-3a15236a-f579-42f8-8c0a-070a67f30ff5/page.md</v>
      </c>
    </row>
    <row r="141" ht="40" customHeight="1">
      <c r="A141" s="10" t="str">
        <v>Z1</v>
      </c>
      <c r="B141" s="10" t="str">
        <v>Vari Kaur</v>
      </c>
      <c r="C141" s="10" t="str">
        <v>narrative html</v>
      </c>
      <c r="D141" s="10" t="str">
        <v>Not produced / unavailable</v>
      </c>
      <c r="E141" s="10" t="str"/>
      <c r="F141" s="10"/>
    </row>
    <row r="142" ht="54" customHeight="1">
      <c r="A142" s="3" t="str">
        <v>Z1</v>
      </c>
      <c r="B142" s="3" t="str">
        <v>Vari Kaur</v>
      </c>
      <c r="C142" s="3" t="str">
        <v>narrative blocks</v>
      </c>
      <c r="D142" s="23" t="str">
        <v>Open narrative blocks</v>
      </c>
      <c r="E142" s="3" t="str"/>
      <c r="F142" s="3" t="str">
        <v>/Users/aryankeshri/conductor/workspaces/research-and-data/jerusalem-v1/.artifacts/zafran-three-model-medium-20260928/grok46/person-3a15236a-f579-42f8-8c0a-070a67f30ff5/display-blocks.json</v>
      </c>
    </row>
    <row r="143" ht="40" customHeight="1">
      <c r="A143" s="10" t="str">
        <v>Z1</v>
      </c>
      <c r="B143" s="10" t="str">
        <v>Vari Kaur</v>
      </c>
      <c r="C143" s="10" t="str">
        <v>uncommitted narrative json</v>
      </c>
      <c r="D143" s="10" t="str">
        <v>Not produced / unavailable</v>
      </c>
      <c r="E143" s="10" t="str"/>
      <c r="F143" s="10"/>
    </row>
    <row r="144" ht="40" customHeight="1">
      <c r="A144" s="3" t="str">
        <v>Z1</v>
      </c>
      <c r="B144" s="3" t="str">
        <v>Vari Kaur</v>
      </c>
      <c r="C144" s="3" t="str">
        <v>Langfuse execution</v>
      </c>
      <c r="D144" s="23" t="str">
        <v>Open Langfuse execution</v>
      </c>
      <c r="E144" s="3" t="str"/>
      <c r="F144" s="3" t="str">
        <v>https://us.cloud.langfuse.com/project/cmu2j8vra0137ad0clp5vylx2/traces/cc14f19bb38c4dc8231497ed7ab55bef</v>
      </c>
    </row>
    <row r="145" ht="54" customHeight="1">
      <c r="A145" s="10" t="str">
        <v>Z1</v>
      </c>
      <c r="B145" s="10" t="str">
        <v>Nick Fisher</v>
      </c>
      <c r="C145" s="10" t="str">
        <v>dossier json</v>
      </c>
      <c r="D145" s="24" t="str">
        <v>Open dossier json</v>
      </c>
      <c r="E145" s="10" t="str"/>
      <c r="F145" s="10" t="str">
        <v>/Users/aryankeshri/conductor/workspaces/research-and-data/jerusalem-v1/.artifacts/zafran-three-model-medium-20260928/grok46/review/05d4fa83-5d48-5d21-ab82-867e8af0819d/dossier.json</v>
      </c>
    </row>
    <row r="146" ht="40" customHeight="1">
      <c r="A146" s="3" t="str">
        <v>Z1</v>
      </c>
      <c r="B146" s="3" t="str">
        <v>Nick Fisher</v>
      </c>
      <c r="C146" s="3" t="str">
        <v>dossier readable</v>
      </c>
      <c r="D146" s="23" t="str">
        <v>Open dossier readable</v>
      </c>
      <c r="E146" s="3" t="str"/>
      <c r="F146" s="3" t="str">
        <v>/Users/aryankeshri/conductor/workspaces/research-and-data/jerusalem-v1/.artifacts/zafran-three-model-medium-20260928/grok46/review/05d4fa83-5d48-5d21-ab82-867e8af0819d/dossier.md</v>
      </c>
    </row>
    <row r="147" ht="40" customHeight="1">
      <c r="A147" s="10" t="str">
        <v>Z1</v>
      </c>
      <c r="B147" s="10" t="str">
        <v>Nick Fisher</v>
      </c>
      <c r="C147" s="10" t="str">
        <v>narrative markdown</v>
      </c>
      <c r="D147" s="24" t="str">
        <v>Open narrative markdown</v>
      </c>
      <c r="E147" s="10" t="str"/>
      <c r="F147" s="10" t="str">
        <v>/Users/aryankeshri/conductor/workspaces/research-and-data/jerusalem-v1/.artifacts/zafran-three-model-medium-20260928/grok46/person-c438c42b-ea48-4b3c-b71d-22cb216f32f7/page.md</v>
      </c>
    </row>
    <row r="148" ht="40" customHeight="1">
      <c r="A148" s="3" t="str">
        <v>Z1</v>
      </c>
      <c r="B148" s="3" t="str">
        <v>Nick Fisher</v>
      </c>
      <c r="C148" s="3" t="str">
        <v>narrative html</v>
      </c>
      <c r="D148" s="3" t="str">
        <v>Not produced / unavailable</v>
      </c>
      <c r="E148" s="3" t="str"/>
      <c r="F148" s="3"/>
    </row>
    <row r="149" ht="54" customHeight="1">
      <c r="A149" s="10" t="str">
        <v>Z1</v>
      </c>
      <c r="B149" s="10" t="str">
        <v>Nick Fisher</v>
      </c>
      <c r="C149" s="10" t="str">
        <v>narrative blocks</v>
      </c>
      <c r="D149" s="24" t="str">
        <v>Open narrative blocks</v>
      </c>
      <c r="E149" s="10" t="str"/>
      <c r="F149" s="10" t="str">
        <v>/Users/aryankeshri/conductor/workspaces/research-and-data/jerusalem-v1/.artifacts/zafran-three-model-medium-20260928/grok46/person-c438c42b-ea48-4b3c-b71d-22cb216f32f7/display-blocks.json</v>
      </c>
    </row>
    <row r="150" ht="40" customHeight="1">
      <c r="A150" s="3" t="str">
        <v>Z1</v>
      </c>
      <c r="B150" s="3" t="str">
        <v>Nick Fisher</v>
      </c>
      <c r="C150" s="3" t="str">
        <v>uncommitted narrative json</v>
      </c>
      <c r="D150" s="3" t="str">
        <v>Not produced / unavailable</v>
      </c>
      <c r="E150" s="3" t="str"/>
      <c r="F150" s="3"/>
    </row>
    <row r="151" ht="40" customHeight="1">
      <c r="A151" s="10" t="str">
        <v>Z1</v>
      </c>
      <c r="B151" s="10" t="str">
        <v>Nick Fisher</v>
      </c>
      <c r="C151" s="10" t="str">
        <v>Langfuse execution</v>
      </c>
      <c r="D151" s="24" t="str">
        <v>Open Langfuse execution</v>
      </c>
      <c r="E151" s="10" t="str"/>
      <c r="F151" s="10" t="str">
        <v>https://us.cloud.langfuse.com/project/cmu2j8vra0137ad0clp5vylx2/traces/4f46c67e7b578484ecb051982de67bf7</v>
      </c>
    </row>
    <row r="152" ht="40" customHeight="1">
      <c r="A152" s="3" t="str">
        <v>Z1</v>
      </c>
      <c r="B152" s="3" t="str">
        <v>Run</v>
      </c>
      <c r="C152" s="3" t="str">
        <v>report</v>
      </c>
      <c r="D152" s="23" t="str">
        <v>Open report</v>
      </c>
      <c r="E152" s="3" t="str"/>
      <c r="F152" s="3" t="str">
        <v>/Users/aryankeshri/conductor/workspaces/research-and-data/jerusalem-v1/.artifacts/zafran-three-model-medium-20260928/grok46/REPORT.md</v>
      </c>
    </row>
    <row r="153" ht="40" customHeight="1">
      <c r="A153" s="10" t="str">
        <v>Z1</v>
      </c>
      <c r="B153" s="10" t="str">
        <v>Run</v>
      </c>
      <c r="C153" s="10" t="str">
        <v>initial account dossier json</v>
      </c>
      <c r="D153" s="24" t="str">
        <v>Open initial account dossier json</v>
      </c>
      <c r="E153" s="10" t="str"/>
      <c r="F153" s="10" t="str">
        <v>/Users/aryankeshri/conductor/workspaces/research-and-data/jerusalem-v1/.artifacts/zafran-three-model-medium-20260928/grok46/account-initial/dossier.json</v>
      </c>
    </row>
    <row r="154" ht="40" customHeight="1">
      <c r="A154" s="3" t="str">
        <v>Z1</v>
      </c>
      <c r="B154" s="3" t="str">
        <v>Run</v>
      </c>
      <c r="C154" s="3" t="str">
        <v>initial account dossier readable</v>
      </c>
      <c r="D154" s="23" t="str">
        <v>Open initial account dossier readable</v>
      </c>
      <c r="E154" s="3" t="str"/>
      <c r="F154" s="3" t="str">
        <v>/Users/aryankeshri/conductor/workspaces/research-and-data/jerusalem-v1/.artifacts/zafran-three-model-medium-20260928/grok46/account-initial/dossier.md</v>
      </c>
    </row>
    <row r="155" ht="40" customHeight="1">
      <c r="A155" s="10" t="str">
        <v>Z1</v>
      </c>
      <c r="B155" s="10" t="str">
        <v>Run</v>
      </c>
      <c r="C155" s="10" t="str">
        <v>initial account narrative</v>
      </c>
      <c r="D155" s="24" t="str">
        <v>Open initial account narrative</v>
      </c>
      <c r="E155" s="10" t="str"/>
      <c r="F155" s="10" t="str">
        <v>/Users/aryankeshri/conductor/workspaces/research-and-data/jerusalem-v1/.artifacts/zafran-three-model-medium-20260928/grok46/account-initial/page.md</v>
      </c>
    </row>
    <row r="156" ht="40" customHeight="1">
      <c r="A156" s="3" t="str">
        <v>Z1</v>
      </c>
      <c r="B156" s="3" t="str">
        <v>Run</v>
      </c>
      <c r="C156" s="3" t="str">
        <v>current account narrative</v>
      </c>
      <c r="D156" s="23" t="str">
        <v>Open current account narrative</v>
      </c>
      <c r="E156" s="3" t="str">
        <v>May include common Muse reconciliation.</v>
      </c>
      <c r="F156" s="3" t="str">
        <v>/Users/aryankeshri/conductor/workspaces/research-and-data/jerusalem-v1/.artifacts/zafran-three-model-medium-20260928/grok46/account/page.md</v>
      </c>
    </row>
    <row r="157" ht="40" customHeight="1">
      <c r="A157" s="10" t="str">
        <v>Z1</v>
      </c>
      <c r="B157" s="10" t="str">
        <v>Run</v>
      </c>
      <c r="C157" s="10" t="str">
        <v>intermediate exa dossier</v>
      </c>
      <c r="D157" s="10" t="str">
        <v>Not produced / unavailable</v>
      </c>
      <c r="E157" s="10" t="str"/>
      <c r="F157" s="10"/>
    </row>
    <row r="158" ht="40" customHeight="1">
      <c r="A158" s="3" t="str">
        <v>Z1</v>
      </c>
      <c r="B158" s="3" t="str">
        <v>Run</v>
      </c>
      <c r="C158" s="3" t="str">
        <v>raw sources manifest</v>
      </c>
      <c r="D158" s="23" t="str">
        <v>Open raw sources manifest</v>
      </c>
      <c r="E158" s="3" t="str"/>
      <c r="F158" s="3" t="str">
        <v>/Users/aryankeshri/conductor/workspaces/research-and-data/jerusalem-v1/.artifacts/zafran-three-model-medium-20260928/grok46/all-raw/manifest.json</v>
      </c>
    </row>
    <row r="159" ht="40" customHeight="1">
      <c r="A159" s="10" t="str">
        <v>Z1</v>
      </c>
      <c r="B159" s="10" t="str">
        <v>Run</v>
      </c>
      <c r="C159" s="10" t="str">
        <v>model calls csv</v>
      </c>
      <c r="D159" s="24" t="str">
        <v>Open model calls csv</v>
      </c>
      <c r="E159" s="10" t="str"/>
      <c r="F159" s="10" t="str">
        <v>/Users/aryankeshri/conductor/workspaces/research-and-data/jerusalem-v1/.artifacts/research-model-evaluation-20260928/grok46-model-calls.csv</v>
      </c>
    </row>
    <row r="160" ht="40" customHeight="1">
      <c r="A160" s="3" t="str">
        <v>Z1</v>
      </c>
      <c r="B160" s="3" t="str">
        <v>Run</v>
      </c>
      <c r="C160" s="3" t="str">
        <v>tool activity</v>
      </c>
      <c r="D160" s="23" t="str">
        <v>Open tool activity</v>
      </c>
      <c r="E160" s="3" t="str"/>
      <c r="F160" s="3" t="str">
        <v>/Users/aryankeshri/conductor/workspaces/research-and-data/jerusalem-v1/.artifacts/zafran-three-model-medium-20260928/grok46/tool-activity.md</v>
      </c>
    </row>
    <row r="161" ht="40" customHeight="1">
      <c r="A161" s="10" t="str">
        <v>Z1</v>
      </c>
      <c r="B161" s="10" t="str">
        <v>Run</v>
      </c>
      <c r="C161" s="10" t="str">
        <v>database audit</v>
      </c>
      <c r="D161" s="24" t="str">
        <v>Open database audit</v>
      </c>
      <c r="E161" s="10" t="str"/>
      <c r="F161" s="10" t="str">
        <v>/Users/aryankeshri/conductor/workspaces/research-and-data/jerusalem-v1/.artifacts/zafran-three-model-medium-20260928/grok46/review/audit.json</v>
      </c>
    </row>
    <row r="162" ht="40" customHeight="1">
      <c r="A162" s="3" t="str">
        <v>Z1</v>
      </c>
      <c r="B162" s="3" t="str">
        <v>Run</v>
      </c>
      <c r="C162" s="3" t="str">
        <v>job snapshot</v>
      </c>
      <c r="D162" s="23" t="str">
        <v>Open job snapshot</v>
      </c>
      <c r="E162" s="3" t="str"/>
      <c r="F162" s="3" t="str">
        <v>/Users/aryankeshri/conductor/workspaces/research-and-data/jerusalem-v1/.artifacts/zafran-three-model-medium-20260928/grok46/review/arv2_research_job.json</v>
      </c>
    </row>
    <row r="163" ht="40" customHeight="1">
      <c r="A163" s="10" t="str">
        <v>Z1</v>
      </c>
      <c r="B163" s="10" t="str">
        <v>Run</v>
      </c>
      <c r="C163" s="10" t="str">
        <v>provider ledger</v>
      </c>
      <c r="D163" s="24" t="str">
        <v>Open provider ledger</v>
      </c>
      <c r="E163" s="10" t="str"/>
      <c r="F163" s="10" t="str">
        <v>/Users/aryankeshri/conductor/workspaces/research-and-data/jerusalem-v1/.artifacts/zafran-three-model-medium-20260928/grok46/review/provider_call_ledger.json</v>
      </c>
    </row>
    <row r="164" ht="40" customHeight="1">
      <c r="A164" s="3" t="str">
        <v>Z1</v>
      </c>
      <c r="B164" s="3" t="str">
        <v>Run</v>
      </c>
      <c r="C164" s="3" t="str">
        <v>reconciliation snapshot</v>
      </c>
      <c r="D164" s="23" t="str">
        <v>Open reconciliation snapshot</v>
      </c>
      <c r="E164" s="3" t="str"/>
      <c r="F164" s="3" t="str">
        <v>/Users/aryankeshri/conductor/workspaces/research-and-data/jerusalem-v1/.artifacts/zafran-three-model-medium-20260928/grok46/review/arv2_narrative_reconciliation.json</v>
      </c>
    </row>
    <row r="165" ht="40" customHeight="1">
      <c r="A165" s="10" t="str">
        <v>Z1</v>
      </c>
      <c r="B165" s="10" t="str">
        <v>Run</v>
      </c>
      <c r="C165" s="10" t="str">
        <v>timing</v>
      </c>
      <c r="D165" s="24" t="str">
        <v>Open timing</v>
      </c>
      <c r="E165" s="10" t="str"/>
      <c r="F165" s="10" t="str">
        <v>/Users/aryankeshri/conductor/workspaces/research-and-data/jerusalem-v1/.artifacts/zafran-three-model-medium-20260928/grok46/timing.json</v>
      </c>
    </row>
    <row r="166" ht="40" customHeight="1">
      <c r="A166" s="3" t="str">
        <v>Z1</v>
      </c>
      <c r="B166" s="3" t="str">
        <v>Run</v>
      </c>
      <c r="C166" s="3" t="str">
        <v>trace verification</v>
      </c>
      <c r="D166" s="23" t="str">
        <v>Open trace verification</v>
      </c>
      <c r="E166" s="3" t="str"/>
      <c r="F166" s="3" t="str">
        <v>/Users/aryankeshri/conductor/workspaces/research-and-data/jerusalem-v1/.artifacts/zafran-three-model-medium-20260928/grok46/trace-verification.json</v>
      </c>
    </row>
    <row r="167" ht="40" customHeight="1">
      <c r="A167" s="10" t="str">
        <v>Z1</v>
      </c>
      <c r="B167" s="10" t="str">
        <v>Run</v>
      </c>
      <c r="C167" s="10" t="str">
        <v>skill reads</v>
      </c>
      <c r="D167" s="24" t="str">
        <v>Open skill reads</v>
      </c>
      <c r="E167" s="10" t="str"/>
      <c r="F167" s="10" t="str">
        <v>/Users/aryankeshri/conductor/workspaces/research-and-data/jerusalem-v1/.artifacts/zafran-three-model-medium-20260928/grok46/skill-read-evidence.json</v>
      </c>
    </row>
    <row r="168" ht="40" customHeight="1">
      <c r="A168" s="3" t="str">
        <v>Z1</v>
      </c>
      <c r="B168" s="3" t="str">
        <v>Run / reconciliation</v>
      </c>
      <c r="C168" s="3" t="str">
        <v>Langfuse trace</v>
      </c>
      <c r="D168" s="23" t="str">
        <v>Open Langfuse trace</v>
      </c>
      <c r="E168" s="3" t="str"/>
      <c r="F168" s="3" t="str">
        <v>https://us.cloud.langfuse.com/project/cmu2j8vra0137ad0clp5vylx2/traces/015093669e64fde931241f05264fe60a</v>
      </c>
    </row>
    <row r="169" ht="40" customHeight="1">
      <c r="A169" s="10" t="str">
        <v>Z1</v>
      </c>
      <c r="B169" s="10" t="str">
        <v>Run / reconciliation</v>
      </c>
      <c r="C169" s="10" t="str">
        <v>Langfuse trace</v>
      </c>
      <c r="D169" s="24" t="str">
        <v>Open Langfuse trace</v>
      </c>
      <c r="E169" s="10" t="str"/>
      <c r="F169" s="10" t="str">
        <v>https://us.cloud.langfuse.com/project/cmu2j8vra0137ad0clp5vylx2/traces/290f554826fcc0c26b41fa5069c958fa</v>
      </c>
    </row>
    <row r="170" ht="40" customHeight="1">
      <c r="A170" s="3" t="str">
        <v>Z1</v>
      </c>
      <c r="B170" s="3" t="str">
        <v>Run / reconciliation</v>
      </c>
      <c r="C170" s="3" t="str">
        <v>Langfuse trace</v>
      </c>
      <c r="D170" s="23" t="str">
        <v>Open Langfuse trace</v>
      </c>
      <c r="E170" s="3" t="str"/>
      <c r="F170" s="3" t="str">
        <v>https://us.cloud.langfuse.com/project/cmu2j8vra0137ad0clp5vylx2/traces/4f46c67e7b578484ecb051982de67bf7</v>
      </c>
    </row>
    <row r="171" ht="40" customHeight="1">
      <c r="A171" s="10" t="str">
        <v>Z1</v>
      </c>
      <c r="B171" s="10" t="str">
        <v>Run / reconciliation</v>
      </c>
      <c r="C171" s="10" t="str">
        <v>Langfuse trace</v>
      </c>
      <c r="D171" s="24" t="str">
        <v>Open Langfuse trace</v>
      </c>
      <c r="E171" s="10" t="str"/>
      <c r="F171" s="10" t="str">
        <v>https://us.cloud.langfuse.com/project/cmu2j8vra0137ad0clp5vylx2/traces/cc14f19bb38c4dc8231497ed7ab55bef</v>
      </c>
    </row>
    <row r="172" ht="40" customHeight="1">
      <c r="A172" s="3" t="str">
        <v>Z1</v>
      </c>
      <c r="B172" s="3" t="str">
        <v>Run</v>
      </c>
      <c r="C172" s="3" t="str">
        <v>failure inventory</v>
      </c>
      <c r="D172" s="23" t="str">
        <v>Open failure inventory</v>
      </c>
      <c r="E172" s="3" t="str"/>
      <c r="F172" s="3" t="str">
        <v>/Users/aryankeshri/conductor/workspaces/research-and-data/jerusalem-v1/.artifacts/research-model-evaluation-20260928/FAILURES-ZAFRAN.md</v>
      </c>
    </row>
    <row r="173" ht="40" customHeight="1">
      <c r="A173" s="10" t="str">
        <v>Z2</v>
      </c>
      <c r="B173" s="10" t="str">
        <v>Vari Kaur</v>
      </c>
      <c r="C173" s="10" t="str">
        <v>dossier json</v>
      </c>
      <c r="D173" s="10" t="str">
        <v>Not produced / unavailable</v>
      </c>
      <c r="E173" s="10" t="str"/>
      <c r="F173" s="10"/>
    </row>
    <row r="174" ht="40" customHeight="1">
      <c r="A174" s="3" t="str">
        <v>Z2</v>
      </c>
      <c r="B174" s="3" t="str">
        <v>Vari Kaur</v>
      </c>
      <c r="C174" s="3" t="str">
        <v>dossier readable</v>
      </c>
      <c r="D174" s="3" t="str">
        <v>Not produced / unavailable</v>
      </c>
      <c r="E174" s="3" t="str"/>
      <c r="F174" s="3"/>
    </row>
    <row r="175" ht="40" customHeight="1">
      <c r="A175" s="10" t="str">
        <v>Z2</v>
      </c>
      <c r="B175" s="10" t="str">
        <v>Vari Kaur</v>
      </c>
      <c r="C175" s="10" t="str">
        <v>narrative markdown</v>
      </c>
      <c r="D175" s="10" t="str">
        <v>Not produced / unavailable</v>
      </c>
      <c r="E175" s="10" t="str"/>
      <c r="F175" s="10"/>
    </row>
    <row r="176" ht="40" customHeight="1">
      <c r="A176" s="3" t="str">
        <v>Z2</v>
      </c>
      <c r="B176" s="3" t="str">
        <v>Vari Kaur</v>
      </c>
      <c r="C176" s="3" t="str">
        <v>narrative html</v>
      </c>
      <c r="D176" s="3" t="str">
        <v>Not produced / unavailable</v>
      </c>
      <c r="E176" s="3" t="str"/>
      <c r="F176" s="3"/>
    </row>
    <row r="177" ht="40" customHeight="1">
      <c r="A177" s="10" t="str">
        <v>Z2</v>
      </c>
      <c r="B177" s="10" t="str">
        <v>Vari Kaur</v>
      </c>
      <c r="C177" s="10" t="str">
        <v>narrative blocks</v>
      </c>
      <c r="D177" s="10" t="str">
        <v>Not produced / unavailable</v>
      </c>
      <c r="E177" s="10" t="str"/>
      <c r="F177" s="10"/>
    </row>
    <row r="178" ht="40" customHeight="1">
      <c r="A178" s="3" t="str">
        <v>Z2</v>
      </c>
      <c r="B178" s="3" t="str">
        <v>Vari Kaur</v>
      </c>
      <c r="C178" s="3" t="str">
        <v>uncommitted narrative json</v>
      </c>
      <c r="D178" s="3" t="str">
        <v>Not produced / unavailable</v>
      </c>
      <c r="E178" s="3" t="str"/>
      <c r="F178" s="3"/>
    </row>
    <row r="179" ht="40" customHeight="1">
      <c r="A179" s="10" t="str">
        <v>Z2</v>
      </c>
      <c r="B179" s="10" t="str">
        <v>Nick Fisher</v>
      </c>
      <c r="C179" s="10" t="str">
        <v>dossier json</v>
      </c>
      <c r="D179" s="10" t="str">
        <v>Not produced / unavailable</v>
      </c>
      <c r="E179" s="10" t="str"/>
      <c r="F179" s="10"/>
    </row>
    <row r="180" ht="40" customHeight="1">
      <c r="A180" s="3" t="str">
        <v>Z2</v>
      </c>
      <c r="B180" s="3" t="str">
        <v>Nick Fisher</v>
      </c>
      <c r="C180" s="3" t="str">
        <v>dossier readable</v>
      </c>
      <c r="D180" s="3" t="str">
        <v>Not produced / unavailable</v>
      </c>
      <c r="E180" s="3" t="str"/>
      <c r="F180" s="3"/>
    </row>
    <row r="181" ht="40" customHeight="1">
      <c r="A181" s="10" t="str">
        <v>Z2</v>
      </c>
      <c r="B181" s="10" t="str">
        <v>Nick Fisher</v>
      </c>
      <c r="C181" s="10" t="str">
        <v>narrative markdown</v>
      </c>
      <c r="D181" s="10" t="str">
        <v>Not produced / unavailable</v>
      </c>
      <c r="E181" s="10" t="str"/>
      <c r="F181" s="10"/>
    </row>
    <row r="182" ht="40" customHeight="1">
      <c r="A182" s="3" t="str">
        <v>Z2</v>
      </c>
      <c r="B182" s="3" t="str">
        <v>Nick Fisher</v>
      </c>
      <c r="C182" s="3" t="str">
        <v>narrative html</v>
      </c>
      <c r="D182" s="3" t="str">
        <v>Not produced / unavailable</v>
      </c>
      <c r="E182" s="3" t="str"/>
      <c r="F182" s="3"/>
    </row>
    <row r="183" ht="40" customHeight="1">
      <c r="A183" s="10" t="str">
        <v>Z2</v>
      </c>
      <c r="B183" s="10" t="str">
        <v>Nick Fisher</v>
      </c>
      <c r="C183" s="10" t="str">
        <v>narrative blocks</v>
      </c>
      <c r="D183" s="10" t="str">
        <v>Not produced / unavailable</v>
      </c>
      <c r="E183" s="10" t="str"/>
      <c r="F183" s="10"/>
    </row>
    <row r="184" ht="40" customHeight="1">
      <c r="A184" s="3" t="str">
        <v>Z2</v>
      </c>
      <c r="B184" s="3" t="str">
        <v>Nick Fisher</v>
      </c>
      <c r="C184" s="3" t="str">
        <v>uncommitted narrative json</v>
      </c>
      <c r="D184" s="3" t="str">
        <v>Not produced / unavailable</v>
      </c>
      <c r="E184" s="3" t="str"/>
      <c r="F184" s="3"/>
    </row>
    <row r="185" ht="54" customHeight="1">
      <c r="A185" s="10" t="str">
        <v>Z2</v>
      </c>
      <c r="B185" s="10" t="str">
        <v>Zafran Security</v>
      </c>
      <c r="C185" s="10" t="str">
        <v>dossier json</v>
      </c>
      <c r="D185" s="24" t="str">
        <v>Open dossier json</v>
      </c>
      <c r="E185" s="10" t="str"/>
      <c r="F185" s="10" t="str">
        <v>/Users/aryankeshri/conductor/workspaces/research-and-data/jerusalem-v1/.artifacts/zafran-three-model-medium-20260928/grok47/review/59d4870e-2207-56ca-a50b-e76ab86f6a53/dossier.json</v>
      </c>
    </row>
    <row r="186" ht="40" customHeight="1">
      <c r="A186" s="3" t="str">
        <v>Z2</v>
      </c>
      <c r="B186" s="3" t="str">
        <v>Zafran Security</v>
      </c>
      <c r="C186" s="3" t="str">
        <v>dossier readable</v>
      </c>
      <c r="D186" s="23" t="str">
        <v>Open dossier readable</v>
      </c>
      <c r="E186" s="3" t="str"/>
      <c r="F186" s="3" t="str">
        <v>/Users/aryankeshri/conductor/workspaces/research-and-data/jerusalem-v1/.artifacts/zafran-three-model-medium-20260928/grok47/review/59d4870e-2207-56ca-a50b-e76ab86f6a53/dossier.md</v>
      </c>
    </row>
    <row r="187" ht="40" customHeight="1">
      <c r="A187" s="10" t="str">
        <v>Z2</v>
      </c>
      <c r="B187" s="10" t="str">
        <v>Zafran Security</v>
      </c>
      <c r="C187" s="10" t="str">
        <v>narrative markdown</v>
      </c>
      <c r="D187" s="10" t="str">
        <v>Not produced / unavailable</v>
      </c>
      <c r="E187" s="10" t="str">
        <v>Current stored page; initial researcher page listed separately.</v>
      </c>
      <c r="F187" s="10"/>
    </row>
    <row r="188" ht="40" customHeight="1">
      <c r="A188" s="3" t="str">
        <v>Z2</v>
      </c>
      <c r="B188" s="3" t="str">
        <v>Zafran Security</v>
      </c>
      <c r="C188" s="3" t="str">
        <v>narrative html</v>
      </c>
      <c r="D188" s="3" t="str">
        <v>Not produced / unavailable</v>
      </c>
      <c r="E188" s="3" t="str"/>
      <c r="F188" s="3"/>
    </row>
    <row r="189" ht="40" customHeight="1">
      <c r="A189" s="10" t="str">
        <v>Z2</v>
      </c>
      <c r="B189" s="10" t="str">
        <v>Zafran Security</v>
      </c>
      <c r="C189" s="10" t="str">
        <v>narrative blocks</v>
      </c>
      <c r="D189" s="10" t="str">
        <v>Not produced / unavailable</v>
      </c>
      <c r="E189" s="10" t="str"/>
      <c r="F189" s="10"/>
    </row>
    <row r="190" ht="40" customHeight="1">
      <c r="A190" s="3" t="str">
        <v>Z2</v>
      </c>
      <c r="B190" s="3" t="str">
        <v>Zafran Security</v>
      </c>
      <c r="C190" s="3" t="str">
        <v>uncommitted narrative json</v>
      </c>
      <c r="D190" s="3" t="str">
        <v>Not produced / unavailable</v>
      </c>
      <c r="E190" s="3" t="str"/>
      <c r="F190" s="3"/>
    </row>
    <row r="191" ht="40" customHeight="1">
      <c r="A191" s="10" t="str">
        <v>Z2</v>
      </c>
      <c r="B191" s="10" t="str">
        <v>Zafran Security</v>
      </c>
      <c r="C191" s="10" t="str">
        <v>Langfuse execution</v>
      </c>
      <c r="D191" s="24" t="str">
        <v>Open Langfuse execution</v>
      </c>
      <c r="E191" s="10" t="str"/>
      <c r="F191" s="10" t="str">
        <v>https://us.cloud.langfuse.com/project/cmu2j8vra0137ad0clp5vylx2/traces/5ea4fb0ebeb9f545fc61f5c0bf534a3c</v>
      </c>
    </row>
    <row r="192" ht="40" customHeight="1">
      <c r="A192" s="3" t="str">
        <v>Z2</v>
      </c>
      <c r="B192" s="3" t="str">
        <v>Run</v>
      </c>
      <c r="C192" s="3" t="str">
        <v>report</v>
      </c>
      <c r="D192" s="23" t="str">
        <v>Open report</v>
      </c>
      <c r="E192" s="3" t="str"/>
      <c r="F192" s="3" t="str">
        <v>/Users/aryankeshri/conductor/workspaces/research-and-data/jerusalem-v1/.artifacts/zafran-three-model-medium-20260928/grok47/REPORT.md</v>
      </c>
    </row>
    <row r="193" ht="40" customHeight="1">
      <c r="A193" s="10" t="str">
        <v>Z2</v>
      </c>
      <c r="B193" s="10" t="str">
        <v>Run</v>
      </c>
      <c r="C193" s="10" t="str">
        <v>initial account dossier json</v>
      </c>
      <c r="D193" s="10" t="str">
        <v>Not produced / unavailable</v>
      </c>
      <c r="E193" s="10" t="str"/>
      <c r="F193" s="10"/>
    </row>
    <row r="194" ht="40" customHeight="1">
      <c r="A194" s="3" t="str">
        <v>Z2</v>
      </c>
      <c r="B194" s="3" t="str">
        <v>Run</v>
      </c>
      <c r="C194" s="3" t="str">
        <v>initial account dossier readable</v>
      </c>
      <c r="D194" s="3" t="str">
        <v>Not produced / unavailable</v>
      </c>
      <c r="E194" s="3" t="str"/>
      <c r="F194" s="3"/>
    </row>
    <row r="195" ht="40" customHeight="1">
      <c r="A195" s="10" t="str">
        <v>Z2</v>
      </c>
      <c r="B195" s="10" t="str">
        <v>Run</v>
      </c>
      <c r="C195" s="10" t="str">
        <v>initial account narrative</v>
      </c>
      <c r="D195" s="10" t="str">
        <v>Not produced / unavailable</v>
      </c>
      <c r="E195" s="10" t="str"/>
      <c r="F195" s="10"/>
    </row>
    <row r="196" ht="40" customHeight="1">
      <c r="A196" s="3" t="str">
        <v>Z2</v>
      </c>
      <c r="B196" s="3" t="str">
        <v>Run</v>
      </c>
      <c r="C196" s="3" t="str">
        <v>current account narrative</v>
      </c>
      <c r="D196" s="3" t="str">
        <v>Not produced / unavailable</v>
      </c>
      <c r="E196" s="3" t="str">
        <v>May include common Muse reconciliation.</v>
      </c>
      <c r="F196" s="3"/>
    </row>
    <row r="197" ht="40" customHeight="1">
      <c r="A197" s="10" t="str">
        <v>Z2</v>
      </c>
      <c r="B197" s="10" t="str">
        <v>Run</v>
      </c>
      <c r="C197" s="10" t="str">
        <v>intermediate exa dossier</v>
      </c>
      <c r="D197" s="10" t="str">
        <v>Not produced / unavailable</v>
      </c>
      <c r="E197" s="10" t="str"/>
      <c r="F197" s="10"/>
    </row>
    <row r="198" ht="40" customHeight="1">
      <c r="A198" s="3" t="str">
        <v>Z2</v>
      </c>
      <c r="B198" s="3" t="str">
        <v>Run</v>
      </c>
      <c r="C198" s="3" t="str">
        <v>raw sources manifest</v>
      </c>
      <c r="D198" s="23" t="str">
        <v>Open raw sources manifest</v>
      </c>
      <c r="E198" s="3" t="str"/>
      <c r="F198" s="3" t="str">
        <v>/Users/aryankeshri/conductor/workspaces/research-and-data/jerusalem-v1/.artifacts/zafran-three-model-medium-20260928/grok47/all-raw/manifest.json</v>
      </c>
    </row>
    <row r="199" ht="40" customHeight="1">
      <c r="A199" s="10" t="str">
        <v>Z2</v>
      </c>
      <c r="B199" s="10" t="str">
        <v>Run</v>
      </c>
      <c r="C199" s="10" t="str">
        <v>model calls csv</v>
      </c>
      <c r="D199" s="24" t="str">
        <v>Open model calls csv</v>
      </c>
      <c r="E199" s="10" t="str"/>
      <c r="F199" s="10" t="str">
        <v>/Users/aryankeshri/conductor/workspaces/research-and-data/jerusalem-v1/.artifacts/research-model-evaluation-20260928/grok47-model-calls.csv</v>
      </c>
    </row>
    <row r="200" ht="40" customHeight="1">
      <c r="A200" s="3" t="str">
        <v>Z2</v>
      </c>
      <c r="B200" s="3" t="str">
        <v>Run</v>
      </c>
      <c r="C200" s="3" t="str">
        <v>tool activity</v>
      </c>
      <c r="D200" s="23" t="str">
        <v>Open tool activity</v>
      </c>
      <c r="E200" s="3" t="str"/>
      <c r="F200" s="3" t="str">
        <v>/Users/aryankeshri/conductor/workspaces/research-and-data/jerusalem-v1/.artifacts/zafran-three-model-medium-20260928/grok47/tool-activity.md</v>
      </c>
    </row>
    <row r="201" ht="40" customHeight="1">
      <c r="A201" s="10" t="str">
        <v>Z2</v>
      </c>
      <c r="B201" s="10" t="str">
        <v>Run</v>
      </c>
      <c r="C201" s="10" t="str">
        <v>database audit</v>
      </c>
      <c r="D201" s="24" t="str">
        <v>Open database audit</v>
      </c>
      <c r="E201" s="10" t="str"/>
      <c r="F201" s="10" t="str">
        <v>/Users/aryankeshri/conductor/workspaces/research-and-data/jerusalem-v1/.artifacts/zafran-three-model-medium-20260928/grok47/review/audit.json</v>
      </c>
    </row>
    <row r="202" ht="40" customHeight="1">
      <c r="A202" s="3" t="str">
        <v>Z2</v>
      </c>
      <c r="B202" s="3" t="str">
        <v>Run</v>
      </c>
      <c r="C202" s="3" t="str">
        <v>job snapshot</v>
      </c>
      <c r="D202" s="23" t="str">
        <v>Open job snapshot</v>
      </c>
      <c r="E202" s="3" t="str"/>
      <c r="F202" s="3" t="str">
        <v>/Users/aryankeshri/conductor/workspaces/research-and-data/jerusalem-v1/.artifacts/zafran-three-model-medium-20260928/grok47/review/arv2_research_job.json</v>
      </c>
    </row>
    <row r="203" ht="40" customHeight="1">
      <c r="A203" s="10" t="str">
        <v>Z2</v>
      </c>
      <c r="B203" s="10" t="str">
        <v>Run</v>
      </c>
      <c r="C203" s="10" t="str">
        <v>provider ledger</v>
      </c>
      <c r="D203" s="24" t="str">
        <v>Open provider ledger</v>
      </c>
      <c r="E203" s="10" t="str"/>
      <c r="F203" s="10" t="str">
        <v>/Users/aryankeshri/conductor/workspaces/research-and-data/jerusalem-v1/.artifacts/zafran-three-model-medium-20260928/grok47/review/provider_call_ledger.json</v>
      </c>
    </row>
    <row r="204" ht="40" customHeight="1">
      <c r="A204" s="3" t="str">
        <v>Z2</v>
      </c>
      <c r="B204" s="3" t="str">
        <v>Run</v>
      </c>
      <c r="C204" s="3" t="str">
        <v>reconciliation snapshot</v>
      </c>
      <c r="D204" s="23" t="str">
        <v>Open reconciliation snapshot</v>
      </c>
      <c r="E204" s="3" t="str"/>
      <c r="F204" s="3" t="str">
        <v>/Users/aryankeshri/conductor/workspaces/research-and-data/jerusalem-v1/.artifacts/zafran-three-model-medium-20260928/grok47/review/arv2_narrative_reconciliation.json</v>
      </c>
    </row>
    <row r="205" ht="40" customHeight="1">
      <c r="A205" s="10" t="str">
        <v>Z2</v>
      </c>
      <c r="B205" s="10" t="str">
        <v>Run</v>
      </c>
      <c r="C205" s="10" t="str">
        <v>timing</v>
      </c>
      <c r="D205" s="24" t="str">
        <v>Open timing</v>
      </c>
      <c r="E205" s="10" t="str"/>
      <c r="F205" s="10" t="str">
        <v>/Users/aryankeshri/conductor/workspaces/research-and-data/jerusalem-v1/.artifacts/zafran-three-model-medium-20260928/grok47/timing.json</v>
      </c>
    </row>
    <row r="206" ht="40" customHeight="1">
      <c r="A206" s="3" t="str">
        <v>Z2</v>
      </c>
      <c r="B206" s="3" t="str">
        <v>Run</v>
      </c>
      <c r="C206" s="3" t="str">
        <v>trace verification</v>
      </c>
      <c r="D206" s="23" t="str">
        <v>Open trace verification</v>
      </c>
      <c r="E206" s="3" t="str"/>
      <c r="F206" s="3" t="str">
        <v>/Users/aryankeshri/conductor/workspaces/research-and-data/jerusalem-v1/.artifacts/zafran-three-model-medium-20260928/grok47/trace-verification.json</v>
      </c>
    </row>
    <row r="207" ht="40" customHeight="1">
      <c r="A207" s="10" t="str">
        <v>Z2</v>
      </c>
      <c r="B207" s="10" t="str">
        <v>Run</v>
      </c>
      <c r="C207" s="10" t="str">
        <v>skill reads</v>
      </c>
      <c r="D207" s="24" t="str">
        <v>Open skill reads</v>
      </c>
      <c r="E207" s="10" t="str"/>
      <c r="F207" s="10" t="str">
        <v>/Users/aryankeshri/conductor/workspaces/research-and-data/jerusalem-v1/.artifacts/zafran-three-model-medium-20260928/grok47/skill-read-evidence.json</v>
      </c>
    </row>
    <row r="208" ht="40" customHeight="1">
      <c r="A208" s="3" t="str">
        <v>Z2</v>
      </c>
      <c r="B208" s="3" t="str">
        <v>Run / reconciliation</v>
      </c>
      <c r="C208" s="3" t="str">
        <v>Langfuse trace</v>
      </c>
      <c r="D208" s="23" t="str">
        <v>Open Langfuse trace</v>
      </c>
      <c r="E208" s="3" t="str"/>
      <c r="F208" s="3" t="str">
        <v>https://us.cloud.langfuse.com/project/cmu2j8vra0137ad0clp5vylx2/traces/5ea4fb0ebeb9f545fc61f5c0bf534a3c</v>
      </c>
    </row>
    <row r="209" ht="40" customHeight="1">
      <c r="A209" s="10" t="str">
        <v>Z2</v>
      </c>
      <c r="B209" s="10" t="str">
        <v>Run</v>
      </c>
      <c r="C209" s="10" t="str">
        <v>failure inventory</v>
      </c>
      <c r="D209" s="24" t="str">
        <v>Open failure inventory</v>
      </c>
      <c r="E209" s="10" t="str"/>
      <c r="F209" s="10" t="str">
        <v>/Users/aryankeshri/conductor/workspaces/research-and-data/jerusalem-v1/.artifacts/research-model-evaluation-20260928/FAILURES-ZAFRAN.md</v>
      </c>
    </row>
    <row r="210" ht="40" customHeight="1">
      <c r="A210" s="3" t="str">
        <v>Z3</v>
      </c>
      <c r="B210" s="3" t="str">
        <v>Tom Anthony</v>
      </c>
      <c r="C210" s="3" t="str">
        <v>dossier json</v>
      </c>
      <c r="D210" s="3" t="str">
        <v>Not produced / unavailable</v>
      </c>
      <c r="E210" s="3" t="str"/>
      <c r="F210" s="3"/>
    </row>
    <row r="211" ht="40" customHeight="1">
      <c r="A211" s="10" t="str">
        <v>Z3</v>
      </c>
      <c r="B211" s="10" t="str">
        <v>Tom Anthony</v>
      </c>
      <c r="C211" s="10" t="str">
        <v>dossier readable</v>
      </c>
      <c r="D211" s="10" t="str">
        <v>Not produced / unavailable</v>
      </c>
      <c r="E211" s="10" t="str"/>
      <c r="F211" s="10"/>
    </row>
    <row r="212" ht="40" customHeight="1">
      <c r="A212" s="3" t="str">
        <v>Z3</v>
      </c>
      <c r="B212" s="3" t="str">
        <v>Tom Anthony</v>
      </c>
      <c r="C212" s="3" t="str">
        <v>narrative markdown</v>
      </c>
      <c r="D212" s="3" t="str">
        <v>Not produced / unavailable</v>
      </c>
      <c r="E212" s="3" t="str"/>
      <c r="F212" s="3"/>
    </row>
    <row r="213" ht="40" customHeight="1">
      <c r="A213" s="10" t="str">
        <v>Z3</v>
      </c>
      <c r="B213" s="10" t="str">
        <v>Tom Anthony</v>
      </c>
      <c r="C213" s="10" t="str">
        <v>narrative html</v>
      </c>
      <c r="D213" s="10" t="str">
        <v>Not produced / unavailable</v>
      </c>
      <c r="E213" s="10" t="str"/>
      <c r="F213" s="10"/>
    </row>
    <row r="214" ht="40" customHeight="1">
      <c r="A214" s="3" t="str">
        <v>Z3</v>
      </c>
      <c r="B214" s="3" t="str">
        <v>Tom Anthony</v>
      </c>
      <c r="C214" s="3" t="str">
        <v>narrative blocks</v>
      </c>
      <c r="D214" s="3" t="str">
        <v>Not produced / unavailable</v>
      </c>
      <c r="E214" s="3" t="str"/>
      <c r="F214" s="3"/>
    </row>
    <row r="215" ht="40" customHeight="1">
      <c r="A215" s="10" t="str">
        <v>Z3</v>
      </c>
      <c r="B215" s="10" t="str">
        <v>Tom Anthony</v>
      </c>
      <c r="C215" s="10" t="str">
        <v>uncommitted narrative json</v>
      </c>
      <c r="D215" s="10" t="str">
        <v>Not produced / unavailable</v>
      </c>
      <c r="E215" s="10" t="str"/>
      <c r="F215" s="10"/>
    </row>
    <row r="216" ht="40" customHeight="1">
      <c r="A216" s="3" t="str">
        <v>Z3</v>
      </c>
      <c r="B216" s="3" t="str">
        <v>Kelly W.</v>
      </c>
      <c r="C216" s="3" t="str">
        <v>dossier json</v>
      </c>
      <c r="D216" s="3" t="str">
        <v>Not produced / unavailable</v>
      </c>
      <c r="E216" s="3" t="str"/>
      <c r="F216" s="3"/>
    </row>
    <row r="217" ht="40" customHeight="1">
      <c r="A217" s="10" t="str">
        <v>Z3</v>
      </c>
      <c r="B217" s="10" t="str">
        <v>Kelly W.</v>
      </c>
      <c r="C217" s="10" t="str">
        <v>dossier readable</v>
      </c>
      <c r="D217" s="10" t="str">
        <v>Not produced / unavailable</v>
      </c>
      <c r="E217" s="10" t="str"/>
      <c r="F217" s="10"/>
    </row>
    <row r="218" ht="40" customHeight="1">
      <c r="A218" s="3" t="str">
        <v>Z3</v>
      </c>
      <c r="B218" s="3" t="str">
        <v>Kelly W.</v>
      </c>
      <c r="C218" s="3" t="str">
        <v>narrative markdown</v>
      </c>
      <c r="D218" s="3" t="str">
        <v>Not produced / unavailable</v>
      </c>
      <c r="E218" s="3" t="str"/>
      <c r="F218" s="3"/>
    </row>
    <row r="219" ht="40" customHeight="1">
      <c r="A219" s="10" t="str">
        <v>Z3</v>
      </c>
      <c r="B219" s="10" t="str">
        <v>Kelly W.</v>
      </c>
      <c r="C219" s="10" t="str">
        <v>narrative html</v>
      </c>
      <c r="D219" s="10" t="str">
        <v>Not produced / unavailable</v>
      </c>
      <c r="E219" s="10" t="str"/>
      <c r="F219" s="10"/>
    </row>
    <row r="220" ht="40" customHeight="1">
      <c r="A220" s="3" t="str">
        <v>Z3</v>
      </c>
      <c r="B220" s="3" t="str">
        <v>Kelly W.</v>
      </c>
      <c r="C220" s="3" t="str">
        <v>narrative blocks</v>
      </c>
      <c r="D220" s="3" t="str">
        <v>Not produced / unavailable</v>
      </c>
      <c r="E220" s="3" t="str"/>
      <c r="F220" s="3"/>
    </row>
    <row r="221" ht="40" customHeight="1">
      <c r="A221" s="10" t="str">
        <v>Z3</v>
      </c>
      <c r="B221" s="10" t="str">
        <v>Kelly W.</v>
      </c>
      <c r="C221" s="10" t="str">
        <v>uncommitted narrative json</v>
      </c>
      <c r="D221" s="10" t="str">
        <v>Not produced / unavailable</v>
      </c>
      <c r="E221" s="10" t="str"/>
      <c r="F221" s="10"/>
    </row>
    <row r="222" ht="40" customHeight="1">
      <c r="A222" s="3" t="str">
        <v>Z3</v>
      </c>
      <c r="B222" s="3" t="str">
        <v>Zafran Security</v>
      </c>
      <c r="C222" s="3" t="str">
        <v>dossier json</v>
      </c>
      <c r="D222" s="3" t="str">
        <v>Not produced / unavailable</v>
      </c>
      <c r="E222" s="3" t="str"/>
      <c r="F222" s="3"/>
    </row>
    <row r="223" ht="40" customHeight="1">
      <c r="A223" s="10" t="str">
        <v>Z3</v>
      </c>
      <c r="B223" s="10" t="str">
        <v>Zafran Security</v>
      </c>
      <c r="C223" s="10" t="str">
        <v>dossier readable</v>
      </c>
      <c r="D223" s="10" t="str">
        <v>Not produced / unavailable</v>
      </c>
      <c r="E223" s="10" t="str"/>
      <c r="F223" s="10"/>
    </row>
    <row r="224" ht="40" customHeight="1">
      <c r="A224" s="3" t="str">
        <v>Z3</v>
      </c>
      <c r="B224" s="3" t="str">
        <v>Zafran Security</v>
      </c>
      <c r="C224" s="3" t="str">
        <v>narrative markdown</v>
      </c>
      <c r="D224" s="3" t="str">
        <v>Not produced / unavailable</v>
      </c>
      <c r="E224" s="3" t="str">
        <v>Current stored page; initial researcher page listed separately.</v>
      </c>
      <c r="F224" s="3"/>
    </row>
    <row r="225" ht="40" customHeight="1">
      <c r="A225" s="10" t="str">
        <v>Z3</v>
      </c>
      <c r="B225" s="10" t="str">
        <v>Zafran Security</v>
      </c>
      <c r="C225" s="10" t="str">
        <v>narrative html</v>
      </c>
      <c r="D225" s="10" t="str">
        <v>Not produced / unavailable</v>
      </c>
      <c r="E225" s="10" t="str"/>
      <c r="F225" s="10"/>
    </row>
    <row r="226" ht="40" customHeight="1">
      <c r="A226" s="3" t="str">
        <v>Z3</v>
      </c>
      <c r="B226" s="3" t="str">
        <v>Zafran Security</v>
      </c>
      <c r="C226" s="3" t="str">
        <v>narrative blocks</v>
      </c>
      <c r="D226" s="3" t="str">
        <v>Not produced / unavailable</v>
      </c>
      <c r="E226" s="3" t="str"/>
      <c r="F226" s="3"/>
    </row>
    <row r="227" ht="40" customHeight="1">
      <c r="A227" s="10" t="str">
        <v>Z3</v>
      </c>
      <c r="B227" s="10" t="str">
        <v>Zafran Security</v>
      </c>
      <c r="C227" s="10" t="str">
        <v>uncommitted narrative json</v>
      </c>
      <c r="D227" s="10" t="str">
        <v>Not produced / unavailable</v>
      </c>
      <c r="E227" s="10" t="str"/>
      <c r="F227" s="10"/>
    </row>
    <row r="228" ht="40" customHeight="1">
      <c r="A228" s="3" t="str">
        <v>Z3</v>
      </c>
      <c r="B228" s="3" t="str">
        <v>Zafran Security</v>
      </c>
      <c r="C228" s="3" t="str">
        <v>Langfuse execution</v>
      </c>
      <c r="D228" s="23" t="str">
        <v>Open Langfuse execution</v>
      </c>
      <c r="E228" s="3" t="str"/>
      <c r="F228" s="3" t="str">
        <v>https://us.cloud.langfuse.com/project/cmu2j8vra0137ad0clp5vylx2/traces/5f56c7dcbedbc8e6a34a6da394bed0e5</v>
      </c>
    </row>
    <row r="229" ht="40" customHeight="1">
      <c r="A229" s="10" t="str">
        <v>Z3</v>
      </c>
      <c r="B229" s="10" t="str">
        <v>Run</v>
      </c>
      <c r="C229" s="10" t="str">
        <v>report</v>
      </c>
      <c r="D229" s="24" t="str">
        <v>Open report</v>
      </c>
      <c r="E229" s="10" t="str"/>
      <c r="F229" s="10" t="str">
        <v>/Users/aryankeshri/conductor/workspaces/research-and-data/jerusalem-v1/.artifacts/zafran-three-model-medium-20260928/glm53/REPORT.md</v>
      </c>
    </row>
    <row r="230" ht="40" customHeight="1">
      <c r="A230" s="3" t="str">
        <v>Z3</v>
      </c>
      <c r="B230" s="3" t="str">
        <v>Run</v>
      </c>
      <c r="C230" s="3" t="str">
        <v>initial account dossier json</v>
      </c>
      <c r="D230" s="3" t="str">
        <v>Not produced / unavailable</v>
      </c>
      <c r="E230" s="3" t="str"/>
      <c r="F230" s="3"/>
    </row>
    <row r="231" ht="40" customHeight="1">
      <c r="A231" s="10" t="str">
        <v>Z3</v>
      </c>
      <c r="B231" s="10" t="str">
        <v>Run</v>
      </c>
      <c r="C231" s="10" t="str">
        <v>initial account dossier readable</v>
      </c>
      <c r="D231" s="10" t="str">
        <v>Not produced / unavailable</v>
      </c>
      <c r="E231" s="10" t="str"/>
      <c r="F231" s="10"/>
    </row>
    <row r="232" ht="40" customHeight="1">
      <c r="A232" s="3" t="str">
        <v>Z3</v>
      </c>
      <c r="B232" s="3" t="str">
        <v>Run</v>
      </c>
      <c r="C232" s="3" t="str">
        <v>initial account narrative</v>
      </c>
      <c r="D232" s="3" t="str">
        <v>Not produced / unavailable</v>
      </c>
      <c r="E232" s="3" t="str"/>
      <c r="F232" s="3"/>
    </row>
    <row r="233" ht="40" customHeight="1">
      <c r="A233" s="10" t="str">
        <v>Z3</v>
      </c>
      <c r="B233" s="10" t="str">
        <v>Run</v>
      </c>
      <c r="C233" s="10" t="str">
        <v>current account narrative</v>
      </c>
      <c r="D233" s="10" t="str">
        <v>Not produced / unavailable</v>
      </c>
      <c r="E233" s="10" t="str">
        <v>May include common Muse reconciliation.</v>
      </c>
      <c r="F233" s="10"/>
    </row>
    <row r="234" ht="40" customHeight="1">
      <c r="A234" s="3" t="str">
        <v>Z3</v>
      </c>
      <c r="B234" s="3" t="str">
        <v>Run</v>
      </c>
      <c r="C234" s="3" t="str">
        <v>intermediate exa dossier</v>
      </c>
      <c r="D234" s="23" t="str">
        <v>Open intermediate exa dossier</v>
      </c>
      <c r="E234" s="3" t="str"/>
      <c r="F234" s="3" t="str">
        <v>/Users/aryankeshri/conductor/workspaces/research-and-data/jerusalem-v1/.artifacts/zafran-three-model-medium-20260928/glm53/account-exa-dossier.md</v>
      </c>
    </row>
    <row r="235" ht="40" customHeight="1">
      <c r="A235" s="10" t="str">
        <v>Z3</v>
      </c>
      <c r="B235" s="10" t="str">
        <v>Run</v>
      </c>
      <c r="C235" s="10" t="str">
        <v>raw sources manifest</v>
      </c>
      <c r="D235" s="24" t="str">
        <v>Open raw sources manifest</v>
      </c>
      <c r="E235" s="10" t="str"/>
      <c r="F235" s="10" t="str">
        <v>/Users/aryankeshri/conductor/workspaces/research-and-data/jerusalem-v1/.artifacts/zafran-three-model-medium-20260928/glm53/all-raw/manifest.json</v>
      </c>
    </row>
    <row r="236" ht="40" customHeight="1">
      <c r="A236" s="3" t="str">
        <v>Z3</v>
      </c>
      <c r="B236" s="3" t="str">
        <v>Run</v>
      </c>
      <c r="C236" s="3" t="str">
        <v>model calls csv</v>
      </c>
      <c r="D236" s="23" t="str">
        <v>Open model calls csv</v>
      </c>
      <c r="E236" s="3" t="str"/>
      <c r="F236" s="3" t="str">
        <v>/Users/aryankeshri/conductor/workspaces/research-and-data/jerusalem-v1/.artifacts/research-model-evaluation-20260928/glm53-model-calls.csv</v>
      </c>
    </row>
    <row r="237" ht="40" customHeight="1">
      <c r="A237" s="10" t="str">
        <v>Z3</v>
      </c>
      <c r="B237" s="10" t="str">
        <v>Run</v>
      </c>
      <c r="C237" s="10" t="str">
        <v>tool activity</v>
      </c>
      <c r="D237" s="24" t="str">
        <v>Open tool activity</v>
      </c>
      <c r="E237" s="10" t="str"/>
      <c r="F237" s="10" t="str">
        <v>/Users/aryankeshri/conductor/workspaces/research-and-data/jerusalem-v1/.artifacts/zafran-three-model-medium-20260928/glm53/activity-latest.json</v>
      </c>
    </row>
    <row r="238" ht="40" customHeight="1">
      <c r="A238" s="3" t="str">
        <v>Z3</v>
      </c>
      <c r="B238" s="3" t="str">
        <v>Run</v>
      </c>
      <c r="C238" s="3" t="str">
        <v>database audit</v>
      </c>
      <c r="D238" s="23" t="str">
        <v>Open database audit</v>
      </c>
      <c r="E238" s="3" t="str"/>
      <c r="F238" s="3" t="str">
        <v>/Users/aryankeshri/conductor/workspaces/research-and-data/jerusalem-v1/.artifacts/zafran-three-model-medium-20260928/glm53/review/audit.json</v>
      </c>
    </row>
    <row r="239" ht="40" customHeight="1">
      <c r="A239" s="10" t="str">
        <v>Z3</v>
      </c>
      <c r="B239" s="10" t="str">
        <v>Run</v>
      </c>
      <c r="C239" s="10" t="str">
        <v>job snapshot</v>
      </c>
      <c r="D239" s="24" t="str">
        <v>Open job snapshot</v>
      </c>
      <c r="E239" s="10" t="str"/>
      <c r="F239" s="10" t="str">
        <v>/Users/aryankeshri/conductor/workspaces/research-and-data/jerusalem-v1/.artifacts/zafran-three-model-medium-20260928/glm53/review/arv2_research_job.json</v>
      </c>
    </row>
    <row r="240" ht="40" customHeight="1">
      <c r="A240" s="3" t="str">
        <v>Z3</v>
      </c>
      <c r="B240" s="3" t="str">
        <v>Run</v>
      </c>
      <c r="C240" s="3" t="str">
        <v>provider ledger</v>
      </c>
      <c r="D240" s="23" t="str">
        <v>Open provider ledger</v>
      </c>
      <c r="E240" s="3" t="str"/>
      <c r="F240" s="3" t="str">
        <v>/Users/aryankeshri/conductor/workspaces/research-and-data/jerusalem-v1/.artifacts/zafran-three-model-medium-20260928/glm53/review/provider_call_ledger.json</v>
      </c>
    </row>
    <row r="241" ht="40" customHeight="1">
      <c r="A241" s="10" t="str">
        <v>Z3</v>
      </c>
      <c r="B241" s="10" t="str">
        <v>Run</v>
      </c>
      <c r="C241" s="10" t="str">
        <v>reconciliation snapshot</v>
      </c>
      <c r="D241" s="24" t="str">
        <v>Open reconciliation snapshot</v>
      </c>
      <c r="E241" s="10" t="str"/>
      <c r="F241" s="10" t="str">
        <v>/Users/aryankeshri/conductor/workspaces/research-and-data/jerusalem-v1/.artifacts/zafran-three-model-medium-20260928/glm53/review/arv2_narrative_reconciliation.json</v>
      </c>
    </row>
    <row r="242" ht="40" customHeight="1">
      <c r="A242" s="3" t="str">
        <v>Z3</v>
      </c>
      <c r="B242" s="3" t="str">
        <v>Run</v>
      </c>
      <c r="C242" s="3" t="str">
        <v>timing</v>
      </c>
      <c r="D242" s="23" t="str">
        <v>Open timing</v>
      </c>
      <c r="E242" s="3" t="str"/>
      <c r="F242" s="3" t="str">
        <v>/Users/aryankeshri/conductor/workspaces/research-and-data/jerusalem-v1/.artifacts/zafran-three-model-medium-20260928/glm53/timing.json</v>
      </c>
    </row>
    <row r="243" ht="40" customHeight="1">
      <c r="A243" s="10" t="str">
        <v>Z3</v>
      </c>
      <c r="B243" s="10" t="str">
        <v>Run</v>
      </c>
      <c r="C243" s="10" t="str">
        <v>trace verification</v>
      </c>
      <c r="D243" s="24" t="str">
        <v>Open trace verification</v>
      </c>
      <c r="E243" s="10" t="str"/>
      <c r="F243" s="10" t="str">
        <v>/Users/aryankeshri/conductor/workspaces/research-and-data/jerusalem-v1/.artifacts/zafran-three-model-medium-20260928/glm53/trace-verification.json</v>
      </c>
    </row>
    <row r="244" ht="40" customHeight="1">
      <c r="A244" s="3" t="str">
        <v>Z3</v>
      </c>
      <c r="B244" s="3" t="str">
        <v>Run</v>
      </c>
      <c r="C244" s="3" t="str">
        <v>skill reads</v>
      </c>
      <c r="D244" s="23" t="str">
        <v>Open skill reads</v>
      </c>
      <c r="E244" s="3" t="str"/>
      <c r="F244" s="3" t="str">
        <v>/Users/aryankeshri/conductor/workspaces/research-and-data/jerusalem-v1/.artifacts/zafran-three-model-medium-20260928/glm53/skill-read-evidence.json</v>
      </c>
    </row>
    <row r="245" ht="40" customHeight="1">
      <c r="A245" s="10" t="str">
        <v>Z3</v>
      </c>
      <c r="B245" s="10" t="str">
        <v>Run / reconciliation</v>
      </c>
      <c r="C245" s="10" t="str">
        <v>Langfuse trace</v>
      </c>
      <c r="D245" s="24" t="str">
        <v>Open Langfuse trace</v>
      </c>
      <c r="E245" s="10" t="str"/>
      <c r="F245" s="10" t="str">
        <v>https://us.cloud.langfuse.com/project/cmu2j8vra0137ad0clp5vylx2/traces/5f56c7dcbedbc8e6a34a6da394bed0e5</v>
      </c>
    </row>
    <row r="246" ht="40" customHeight="1">
      <c r="A246" s="3" t="str">
        <v>Z3</v>
      </c>
      <c r="B246" s="3" t="str">
        <v>Run</v>
      </c>
      <c r="C246" s="3" t="str">
        <v>failure inventory</v>
      </c>
      <c r="D246" s="23" t="str">
        <v>Open failure inventory</v>
      </c>
      <c r="E246" s="3" t="str"/>
      <c r="F246" s="3" t="str">
        <v>/Users/aryankeshri/conductor/workspaces/research-and-data/jerusalem-v1/.artifacts/research-model-evaluation-20260928/FAILURES-ZAFRAN.md</v>
      </c>
    </row>
    <row r="247" ht="40" customHeight="1">
      <c r="A247" s="10" t="str">
        <v>Z4</v>
      </c>
      <c r="B247" s="10" t="str">
        <v>Zafran Security</v>
      </c>
      <c r="C247" s="10" t="str">
        <v>dossier json</v>
      </c>
      <c r="D247" s="10" t="str">
        <v>Not produced / unavailable</v>
      </c>
      <c r="E247" s="10" t="str"/>
      <c r="F247" s="10"/>
    </row>
    <row r="248" ht="40" customHeight="1">
      <c r="A248" s="3" t="str">
        <v>Z4</v>
      </c>
      <c r="B248" s="3" t="str">
        <v>Zafran Security</v>
      </c>
      <c r="C248" s="3" t="str">
        <v>dossier readable</v>
      </c>
      <c r="D248" s="3" t="str">
        <v>Not produced / unavailable</v>
      </c>
      <c r="E248" s="3" t="str"/>
      <c r="F248" s="3"/>
    </row>
    <row r="249" ht="40" customHeight="1">
      <c r="A249" s="10" t="str">
        <v>Z4</v>
      </c>
      <c r="B249" s="10" t="str">
        <v>Zafran Security</v>
      </c>
      <c r="C249" s="10" t="str">
        <v>narrative markdown</v>
      </c>
      <c r="D249" s="10" t="str">
        <v>Not produced / unavailable</v>
      </c>
      <c r="E249" s="10" t="str">
        <v>Current stored page; initial researcher page listed separately.</v>
      </c>
      <c r="F249" s="10"/>
    </row>
    <row r="250" ht="40" customHeight="1">
      <c r="A250" s="3" t="str">
        <v>Z4</v>
      </c>
      <c r="B250" s="3" t="str">
        <v>Zafran Security</v>
      </c>
      <c r="C250" s="3" t="str">
        <v>narrative html</v>
      </c>
      <c r="D250" s="3" t="str">
        <v>Not produced / unavailable</v>
      </c>
      <c r="E250" s="3" t="str"/>
      <c r="F250" s="3"/>
    </row>
    <row r="251" ht="40" customHeight="1">
      <c r="A251" s="10" t="str">
        <v>Z4</v>
      </c>
      <c r="B251" s="10" t="str">
        <v>Zafran Security</v>
      </c>
      <c r="C251" s="10" t="str">
        <v>narrative blocks</v>
      </c>
      <c r="D251" s="10" t="str">
        <v>Not produced / unavailable</v>
      </c>
      <c r="E251" s="10" t="str"/>
      <c r="F251" s="10"/>
    </row>
    <row r="252" ht="40" customHeight="1">
      <c r="A252" s="3" t="str">
        <v>Z4</v>
      </c>
      <c r="B252" s="3" t="str">
        <v>Zafran Security</v>
      </c>
      <c r="C252" s="3" t="str">
        <v>uncommitted narrative json</v>
      </c>
      <c r="D252" s="3" t="str">
        <v>Not produced / unavailable</v>
      </c>
      <c r="E252" s="3" t="str"/>
      <c r="F252" s="3"/>
    </row>
    <row r="253" ht="40" customHeight="1">
      <c r="A253" s="10" t="str">
        <v>Z4</v>
      </c>
      <c r="B253" s="10" t="str">
        <v>Zafran Security</v>
      </c>
      <c r="C253" s="10" t="str">
        <v>Langfuse execution</v>
      </c>
      <c r="D253" s="24" t="str">
        <v>Open Langfuse execution</v>
      </c>
      <c r="E253" s="10" t="str"/>
      <c r="F253" s="10" t="str">
        <v>https://us.cloud.langfuse.com/project/cmu2j8vra0137ad0clp5vylx2/traces/01059ef3685b2b8d3097412a482b762b</v>
      </c>
    </row>
    <row r="254" ht="40" customHeight="1">
      <c r="A254" s="3" t="str">
        <v>Z4</v>
      </c>
      <c r="B254" s="3" t="str">
        <v>Run</v>
      </c>
      <c r="C254" s="3" t="str">
        <v>report</v>
      </c>
      <c r="D254" s="23" t="str">
        <v>Open report</v>
      </c>
      <c r="E254" s="3" t="str"/>
      <c r="F254" s="3" t="str">
        <v>/Users/aryankeshri/conductor/workspaces/research-and-data/jerusalem-v1/.artifacts/zafran-three-model-medium-20260928/glm53-untouched-02/REPORT.md</v>
      </c>
    </row>
    <row r="255" ht="40" customHeight="1">
      <c r="A255" s="10" t="str">
        <v>Z4</v>
      </c>
      <c r="B255" s="10" t="str">
        <v>Run</v>
      </c>
      <c r="C255" s="10" t="str">
        <v>initial account dossier json</v>
      </c>
      <c r="D255" s="10" t="str">
        <v>Not produced / unavailable</v>
      </c>
      <c r="E255" s="10" t="str"/>
      <c r="F255" s="10"/>
    </row>
    <row r="256" ht="40" customHeight="1">
      <c r="A256" s="3" t="str">
        <v>Z4</v>
      </c>
      <c r="B256" s="3" t="str">
        <v>Run</v>
      </c>
      <c r="C256" s="3" t="str">
        <v>initial account dossier readable</v>
      </c>
      <c r="D256" s="3" t="str">
        <v>Not produced / unavailable</v>
      </c>
      <c r="E256" s="3" t="str"/>
      <c r="F256" s="3"/>
    </row>
    <row r="257" ht="40" customHeight="1">
      <c r="A257" s="10" t="str">
        <v>Z4</v>
      </c>
      <c r="B257" s="10" t="str">
        <v>Run</v>
      </c>
      <c r="C257" s="10" t="str">
        <v>initial account narrative</v>
      </c>
      <c r="D257" s="10" t="str">
        <v>Not produced / unavailable</v>
      </c>
      <c r="E257" s="10" t="str"/>
      <c r="F257" s="10"/>
    </row>
    <row r="258" ht="40" customHeight="1">
      <c r="A258" s="3" t="str">
        <v>Z4</v>
      </c>
      <c r="B258" s="3" t="str">
        <v>Run</v>
      </c>
      <c r="C258" s="3" t="str">
        <v>current account narrative</v>
      </c>
      <c r="D258" s="3" t="str">
        <v>Not produced / unavailable</v>
      </c>
      <c r="E258" s="3" t="str">
        <v>May include common Muse reconciliation.</v>
      </c>
      <c r="F258" s="3"/>
    </row>
    <row r="259" ht="40" customHeight="1">
      <c r="A259" s="10" t="str">
        <v>Z4</v>
      </c>
      <c r="B259" s="10" t="str">
        <v>Run</v>
      </c>
      <c r="C259" s="10" t="str">
        <v>intermediate exa dossier</v>
      </c>
      <c r="D259" s="24" t="str">
        <v>Open intermediate exa dossier</v>
      </c>
      <c r="E259" s="10" t="str"/>
      <c r="F259" s="10" t="str">
        <v>/Users/aryankeshri/conductor/workspaces/research-and-data/jerusalem-v1/.artifacts/zafran-three-model-medium-20260928/glm53-untouched-02/account-exa-dossier.md</v>
      </c>
    </row>
    <row r="260" ht="40" customHeight="1">
      <c r="A260" s="3" t="str">
        <v>Z4</v>
      </c>
      <c r="B260" s="3" t="str">
        <v>Run</v>
      </c>
      <c r="C260" s="3" t="str">
        <v>raw sources manifest</v>
      </c>
      <c r="D260" s="23" t="str">
        <v>Open raw sources manifest</v>
      </c>
      <c r="E260" s="3" t="str"/>
      <c r="F260" s="3" t="str">
        <v>/Users/aryankeshri/conductor/workspaces/research-and-data/jerusalem-v1/.artifacts/zafran-three-model-medium-20260928/glm53-untouched-02/all-raw/manifest.json</v>
      </c>
    </row>
    <row r="261" ht="40" customHeight="1">
      <c r="A261" s="10" t="str">
        <v>Z4</v>
      </c>
      <c r="B261" s="10" t="str">
        <v>Run</v>
      </c>
      <c r="C261" s="10" t="str">
        <v>model calls csv</v>
      </c>
      <c r="D261" s="24" t="str">
        <v>Open model calls csv</v>
      </c>
      <c r="E261" s="10" t="str"/>
      <c r="F261" s="10" t="str">
        <v>/Users/aryankeshri/conductor/workspaces/research-and-data/jerusalem-v1/.artifacts/research-model-evaluation-20260928/glm53-untouched-02-model-calls.csv</v>
      </c>
    </row>
    <row r="262" ht="40" customHeight="1">
      <c r="A262" s="3" t="str">
        <v>Z4</v>
      </c>
      <c r="B262" s="3" t="str">
        <v>Run</v>
      </c>
      <c r="C262" s="3" t="str">
        <v>tool activity</v>
      </c>
      <c r="D262" s="23" t="str">
        <v>Open tool activity</v>
      </c>
      <c r="E262" s="3" t="str"/>
      <c r="F262" s="3" t="str">
        <v>/Users/aryankeshri/conductor/workspaces/research-and-data/jerusalem-v1/.artifacts/zafran-three-model-medium-20260928/glm53-untouched-02/activity-latest.json</v>
      </c>
    </row>
    <row r="263" ht="40" customHeight="1">
      <c r="A263" s="10" t="str">
        <v>Z4</v>
      </c>
      <c r="B263" s="10" t="str">
        <v>Run</v>
      </c>
      <c r="C263" s="10" t="str">
        <v>database audit</v>
      </c>
      <c r="D263" s="24" t="str">
        <v>Open database audit</v>
      </c>
      <c r="E263" s="10" t="str"/>
      <c r="F263" s="10" t="str">
        <v>/Users/aryankeshri/conductor/workspaces/research-and-data/jerusalem-v1/.artifacts/zafran-three-model-medium-20260928/glm53-untouched-02/review/audit.json</v>
      </c>
    </row>
    <row r="264" ht="40" customHeight="1">
      <c r="A264" s="3" t="str">
        <v>Z4</v>
      </c>
      <c r="B264" s="3" t="str">
        <v>Run</v>
      </c>
      <c r="C264" s="3" t="str">
        <v>job snapshot</v>
      </c>
      <c r="D264" s="23" t="str">
        <v>Open job snapshot</v>
      </c>
      <c r="E264" s="3" t="str"/>
      <c r="F264" s="3" t="str">
        <v>/Users/aryankeshri/conductor/workspaces/research-and-data/jerusalem-v1/.artifacts/zafran-three-model-medium-20260928/glm53-untouched-02/review/arv2_research_job.json</v>
      </c>
    </row>
    <row r="265" ht="40" customHeight="1">
      <c r="A265" s="10" t="str">
        <v>Z4</v>
      </c>
      <c r="B265" s="10" t="str">
        <v>Run</v>
      </c>
      <c r="C265" s="10" t="str">
        <v>provider ledger</v>
      </c>
      <c r="D265" s="24" t="str">
        <v>Open provider ledger</v>
      </c>
      <c r="E265" s="10" t="str"/>
      <c r="F265" s="10" t="str">
        <v>/Users/aryankeshri/conductor/workspaces/research-and-data/jerusalem-v1/.artifacts/zafran-three-model-medium-20260928/glm53-untouched-02/review/provider_call_ledger.json</v>
      </c>
    </row>
    <row r="266" ht="40" customHeight="1">
      <c r="A266" s="3" t="str">
        <v>Z4</v>
      </c>
      <c r="B266" s="3" t="str">
        <v>Run</v>
      </c>
      <c r="C266" s="3" t="str">
        <v>reconciliation snapshot</v>
      </c>
      <c r="D266" s="23" t="str">
        <v>Open reconciliation snapshot</v>
      </c>
      <c r="E266" s="3" t="str"/>
      <c r="F266" s="3" t="str">
        <v>/Users/aryankeshri/conductor/workspaces/research-and-data/jerusalem-v1/.artifacts/zafran-three-model-medium-20260928/glm53-untouched-02/review/arv2_narrative_reconciliation.json</v>
      </c>
    </row>
    <row r="267" ht="40" customHeight="1">
      <c r="A267" s="10" t="str">
        <v>Z4</v>
      </c>
      <c r="B267" s="10" t="str">
        <v>Run</v>
      </c>
      <c r="C267" s="10" t="str">
        <v>timing</v>
      </c>
      <c r="D267" s="24" t="str">
        <v>Open timing</v>
      </c>
      <c r="E267" s="10" t="str"/>
      <c r="F267" s="10" t="str">
        <v>/Users/aryankeshri/conductor/workspaces/research-and-data/jerusalem-v1/.artifacts/zafran-three-model-medium-20260928/glm53-untouched-02/timing.json</v>
      </c>
    </row>
    <row r="268" ht="40" customHeight="1">
      <c r="A268" s="3" t="str">
        <v>Z4</v>
      </c>
      <c r="B268" s="3" t="str">
        <v>Run</v>
      </c>
      <c r="C268" s="3" t="str">
        <v>trace verification</v>
      </c>
      <c r="D268" s="23" t="str">
        <v>Open trace verification</v>
      </c>
      <c r="E268" s="3" t="str"/>
      <c r="F268" s="3" t="str">
        <v>/Users/aryankeshri/conductor/workspaces/research-and-data/jerusalem-v1/.artifacts/zafran-three-model-medium-20260928/glm53-untouched-02/trace-verification.json</v>
      </c>
    </row>
    <row r="269" ht="40" customHeight="1">
      <c r="A269" s="10" t="str">
        <v>Z4</v>
      </c>
      <c r="B269" s="10" t="str">
        <v>Run</v>
      </c>
      <c r="C269" s="10" t="str">
        <v>skill reads</v>
      </c>
      <c r="D269" s="24" t="str">
        <v>Open skill reads</v>
      </c>
      <c r="E269" s="10" t="str"/>
      <c r="F269" s="10" t="str">
        <v>/Users/aryankeshri/conductor/workspaces/research-and-data/jerusalem-v1/.artifacts/zafran-three-model-medium-20260928/glm53-untouched-02/skill-read-evidence.json</v>
      </c>
    </row>
    <row r="270" ht="40" customHeight="1">
      <c r="A270" s="3" t="str">
        <v>Z4</v>
      </c>
      <c r="B270" s="3" t="str">
        <v>Run / reconciliation</v>
      </c>
      <c r="C270" s="3" t="str">
        <v>Langfuse trace</v>
      </c>
      <c r="D270" s="23" t="str">
        <v>Open Langfuse trace</v>
      </c>
      <c r="E270" s="3" t="str"/>
      <c r="F270" s="3" t="str">
        <v>https://us.cloud.langfuse.com/project/cmu2j8vra0137ad0clp5vylx2/traces/01059ef3685b2b8d3097412a482b762b</v>
      </c>
    </row>
    <row r="271" ht="40" customHeight="1">
      <c r="A271" s="10" t="str">
        <v>Z4</v>
      </c>
      <c r="B271" s="10" t="str">
        <v>Run</v>
      </c>
      <c r="C271" s="10" t="str">
        <v>failure inventory</v>
      </c>
      <c r="D271" s="24" t="str">
        <v>Open failure inventory</v>
      </c>
      <c r="E271" s="10" t="str"/>
      <c r="F271" s="10" t="str">
        <v>/Users/aryankeshri/conductor/workspaces/research-and-data/jerusalem-v1/.artifacts/research-model-evaluation-20260928/FAILURES-ZAFRAN.md</v>
      </c>
    </row>
    <row r="272" ht="40" customHeight="1">
      <c r="A272" s="3" t="str">
        <v>Z5</v>
      </c>
      <c r="B272" s="3" t="str">
        <v>Vari Kaur</v>
      </c>
      <c r="C272" s="3" t="str">
        <v>dossier json</v>
      </c>
      <c r="D272" s="3" t="str">
        <v>Not produced / unavailable</v>
      </c>
      <c r="E272" s="3" t="str"/>
      <c r="F272" s="3"/>
    </row>
    <row r="273" ht="40" customHeight="1">
      <c r="A273" s="10" t="str">
        <v>Z5</v>
      </c>
      <c r="B273" s="10" t="str">
        <v>Vari Kaur</v>
      </c>
      <c r="C273" s="10" t="str">
        <v>dossier readable</v>
      </c>
      <c r="D273" s="10" t="str">
        <v>Not produced / unavailable</v>
      </c>
      <c r="E273" s="10" t="str"/>
      <c r="F273" s="10"/>
    </row>
    <row r="274" ht="40" customHeight="1">
      <c r="A274" s="3" t="str">
        <v>Z5</v>
      </c>
      <c r="B274" s="3" t="str">
        <v>Vari Kaur</v>
      </c>
      <c r="C274" s="3" t="str">
        <v>narrative markdown</v>
      </c>
      <c r="D274" s="3" t="str">
        <v>Not produced / unavailable</v>
      </c>
      <c r="E274" s="3" t="str"/>
      <c r="F274" s="3"/>
    </row>
    <row r="275" ht="40" customHeight="1">
      <c r="A275" s="10" t="str">
        <v>Z5</v>
      </c>
      <c r="B275" s="10" t="str">
        <v>Vari Kaur</v>
      </c>
      <c r="C275" s="10" t="str">
        <v>narrative html</v>
      </c>
      <c r="D275" s="10" t="str">
        <v>Not produced / unavailable</v>
      </c>
      <c r="E275" s="10" t="str"/>
      <c r="F275" s="10"/>
    </row>
    <row r="276" ht="40" customHeight="1">
      <c r="A276" s="3" t="str">
        <v>Z5</v>
      </c>
      <c r="B276" s="3" t="str">
        <v>Vari Kaur</v>
      </c>
      <c r="C276" s="3" t="str">
        <v>narrative blocks</v>
      </c>
      <c r="D276" s="3" t="str">
        <v>Not produced / unavailable</v>
      </c>
      <c r="E276" s="3" t="str"/>
      <c r="F276" s="3"/>
    </row>
    <row r="277" ht="40" customHeight="1">
      <c r="A277" s="10" t="str">
        <v>Z5</v>
      </c>
      <c r="B277" s="10" t="str">
        <v>Vari Kaur</v>
      </c>
      <c r="C277" s="10" t="str">
        <v>uncommitted narrative json</v>
      </c>
      <c r="D277" s="10" t="str">
        <v>Not produced / unavailable</v>
      </c>
      <c r="E277" s="10" t="str"/>
      <c r="F277" s="10"/>
    </row>
    <row r="278" ht="40" customHeight="1">
      <c r="A278" s="3" t="str">
        <v>Z5</v>
      </c>
      <c r="B278" s="3" t="str">
        <v>Vari Kaur</v>
      </c>
      <c r="C278" s="3" t="str">
        <v>Langfuse execution</v>
      </c>
      <c r="D278" s="23" t="str">
        <v>Open Langfuse execution</v>
      </c>
      <c r="E278" s="3" t="str"/>
      <c r="F278" s="3" t="str">
        <v>https://us.cloud.langfuse.com/project/cmu2j8vra0137ad0clp5vylx2/traces/bcdc2cb74109684e8563960111250742</v>
      </c>
    </row>
    <row r="279" ht="54" customHeight="1">
      <c r="A279" s="10" t="str">
        <v>Z5</v>
      </c>
      <c r="B279" s="10" t="str">
        <v>Nick Fisher</v>
      </c>
      <c r="C279" s="10" t="str">
        <v>dossier json</v>
      </c>
      <c r="D279" s="24" t="str">
        <v>Open dossier json</v>
      </c>
      <c r="E279" s="10" t="str"/>
      <c r="F279" s="10" t="str">
        <v>/Users/aryankeshri/conductor/workspaces/research-and-data/jerusalem-v1/.artifacts/zafran-three-model-medium-20260928/deepseek4pro-high/review/436cb01b-602f-52fd-a83e-e1f08f8708fe/dossier.json</v>
      </c>
    </row>
    <row r="280" ht="54" customHeight="1">
      <c r="A280" s="3" t="str">
        <v>Z5</v>
      </c>
      <c r="B280" s="3" t="str">
        <v>Nick Fisher</v>
      </c>
      <c r="C280" s="3" t="str">
        <v>dossier readable</v>
      </c>
      <c r="D280" s="23" t="str">
        <v>Open dossier readable</v>
      </c>
      <c r="E280" s="3" t="str"/>
      <c r="F280" s="3" t="str">
        <v>/Users/aryankeshri/conductor/workspaces/research-and-data/jerusalem-v1/.artifacts/zafran-three-model-medium-20260928/deepseek4pro-high/review/436cb01b-602f-52fd-a83e-e1f08f8708fe/dossier.md</v>
      </c>
    </row>
    <row r="281" ht="40" customHeight="1">
      <c r="A281" s="10" t="str">
        <v>Z5</v>
      </c>
      <c r="B281" s="10" t="str">
        <v>Nick Fisher</v>
      </c>
      <c r="C281" s="10" t="str">
        <v>narrative markdown</v>
      </c>
      <c r="D281" s="10" t="str">
        <v>Not produced / unavailable</v>
      </c>
      <c r="E281" s="10" t="str"/>
      <c r="F281" s="10"/>
    </row>
    <row r="282" ht="40" customHeight="1">
      <c r="A282" s="3" t="str">
        <v>Z5</v>
      </c>
      <c r="B282" s="3" t="str">
        <v>Nick Fisher</v>
      </c>
      <c r="C282" s="3" t="str">
        <v>narrative html</v>
      </c>
      <c r="D282" s="3" t="str">
        <v>Not produced / unavailable</v>
      </c>
      <c r="E282" s="3" t="str"/>
      <c r="F282" s="3"/>
    </row>
    <row r="283" ht="40" customHeight="1">
      <c r="A283" s="10" t="str">
        <v>Z5</v>
      </c>
      <c r="B283" s="10" t="str">
        <v>Nick Fisher</v>
      </c>
      <c r="C283" s="10" t="str">
        <v>narrative blocks</v>
      </c>
      <c r="D283" s="10" t="str">
        <v>Not produced / unavailable</v>
      </c>
      <c r="E283" s="10" t="str"/>
      <c r="F283" s="10"/>
    </row>
    <row r="284" ht="40" customHeight="1">
      <c r="A284" s="3" t="str">
        <v>Z5</v>
      </c>
      <c r="B284" s="3" t="str">
        <v>Nick Fisher</v>
      </c>
      <c r="C284" s="3" t="str">
        <v>uncommitted narrative json</v>
      </c>
      <c r="D284" s="3" t="str">
        <v>Not produced / unavailable</v>
      </c>
      <c r="E284" s="3" t="str"/>
      <c r="F284" s="3"/>
    </row>
    <row r="285" ht="40" customHeight="1">
      <c r="A285" s="10" t="str">
        <v>Z5</v>
      </c>
      <c r="B285" s="10" t="str">
        <v>Nick Fisher</v>
      </c>
      <c r="C285" s="10" t="str">
        <v>Langfuse execution</v>
      </c>
      <c r="D285" s="24" t="str">
        <v>Open Langfuse execution</v>
      </c>
      <c r="E285" s="10" t="str"/>
      <c r="F285" s="10" t="str">
        <v>https://us.cloud.langfuse.com/project/cmu2j8vra0137ad0clp5vylx2/traces/889dc8bf365e27725d163fd0668a34e7</v>
      </c>
    </row>
    <row r="286" ht="54" customHeight="1">
      <c r="A286" s="3" t="str">
        <v>Z5</v>
      </c>
      <c r="B286" s="3" t="str">
        <v>Zafran Security</v>
      </c>
      <c r="C286" s="3" t="str">
        <v>dossier json</v>
      </c>
      <c r="D286" s="23" t="str">
        <v>Open dossier json</v>
      </c>
      <c r="E286" s="3" t="str"/>
      <c r="F286" s="3" t="str">
        <v>/Users/aryankeshri/conductor/workspaces/research-and-data/jerusalem-v1/.artifacts/zafran-three-model-medium-20260928/deepseek4pro-high/review/59d4870e-2207-56ca-a50b-e76ab86f6a53/dossier.json</v>
      </c>
    </row>
    <row r="287" ht="54" customHeight="1">
      <c r="A287" s="10" t="str">
        <v>Z5</v>
      </c>
      <c r="B287" s="10" t="str">
        <v>Zafran Security</v>
      </c>
      <c r="C287" s="10" t="str">
        <v>dossier readable</v>
      </c>
      <c r="D287" s="24" t="str">
        <v>Open dossier readable</v>
      </c>
      <c r="E287" s="10" t="str"/>
      <c r="F287" s="10" t="str">
        <v>/Users/aryankeshri/conductor/workspaces/research-and-data/jerusalem-v1/.artifacts/zafran-three-model-medium-20260928/deepseek4pro-high/review/59d4870e-2207-56ca-a50b-e76ab86f6a53/dossier.md</v>
      </c>
    </row>
    <row r="288" ht="40" customHeight="1">
      <c r="A288" s="3" t="str">
        <v>Z5</v>
      </c>
      <c r="B288" s="3" t="str">
        <v>Zafran Security</v>
      </c>
      <c r="C288" s="3" t="str">
        <v>narrative markdown</v>
      </c>
      <c r="D288" s="3" t="str">
        <v>Not produced / unavailable</v>
      </c>
      <c r="E288" s="3" t="str">
        <v>Current stored page; initial researcher page listed separately.</v>
      </c>
      <c r="F288" s="3"/>
    </row>
    <row r="289" ht="40" customHeight="1">
      <c r="A289" s="10" t="str">
        <v>Z5</v>
      </c>
      <c r="B289" s="10" t="str">
        <v>Zafran Security</v>
      </c>
      <c r="C289" s="10" t="str">
        <v>narrative html</v>
      </c>
      <c r="D289" s="10" t="str">
        <v>Not produced / unavailable</v>
      </c>
      <c r="E289" s="10" t="str"/>
      <c r="F289" s="10"/>
    </row>
    <row r="290" ht="40" customHeight="1">
      <c r="A290" s="3" t="str">
        <v>Z5</v>
      </c>
      <c r="B290" s="3" t="str">
        <v>Zafran Security</v>
      </c>
      <c r="C290" s="3" t="str">
        <v>narrative blocks</v>
      </c>
      <c r="D290" s="3" t="str">
        <v>Not produced / unavailable</v>
      </c>
      <c r="E290" s="3" t="str"/>
      <c r="F290" s="3"/>
    </row>
    <row r="291" ht="40" customHeight="1">
      <c r="A291" s="10" t="str">
        <v>Z5</v>
      </c>
      <c r="B291" s="10" t="str">
        <v>Zafran Security</v>
      </c>
      <c r="C291" s="10" t="str">
        <v>uncommitted narrative json</v>
      </c>
      <c r="D291" s="10" t="str">
        <v>Not produced / unavailable</v>
      </c>
      <c r="E291" s="10" t="str"/>
      <c r="F291" s="10"/>
    </row>
    <row r="292" ht="40" customHeight="1">
      <c r="A292" s="3" t="str">
        <v>Z5</v>
      </c>
      <c r="B292" s="3" t="str">
        <v>Zafran Security</v>
      </c>
      <c r="C292" s="3" t="str">
        <v>Langfuse execution</v>
      </c>
      <c r="D292" s="23" t="str">
        <v>Open Langfuse execution</v>
      </c>
      <c r="E292" s="3" t="str"/>
      <c r="F292" s="3" t="str">
        <v>https://us.cloud.langfuse.com/project/cmu2j8vra0137ad0clp5vylx2/traces/6b4da01eb07ef9a8ec57c0f15b288de0</v>
      </c>
    </row>
    <row r="293" ht="40" customHeight="1">
      <c r="A293" s="10" t="str">
        <v>Z5</v>
      </c>
      <c r="B293" s="10" t="str">
        <v>Run</v>
      </c>
      <c r="C293" s="10" t="str">
        <v>report</v>
      </c>
      <c r="D293" s="24" t="str">
        <v>Open report</v>
      </c>
      <c r="E293" s="10" t="str"/>
      <c r="F293" s="10" t="str">
        <v>/Users/aryankeshri/conductor/workspaces/research-and-data/jerusalem-v1/.artifacts/zafran-three-model-medium-20260928/deepseek4pro-high/REPORT.md</v>
      </c>
    </row>
    <row r="294" ht="40" customHeight="1">
      <c r="A294" s="3" t="str">
        <v>Z5</v>
      </c>
      <c r="B294" s="3" t="str">
        <v>Run</v>
      </c>
      <c r="C294" s="3" t="str">
        <v>initial account dossier json</v>
      </c>
      <c r="D294" s="23" t="str">
        <v>Open initial account dossier json</v>
      </c>
      <c r="E294" s="3" t="str"/>
      <c r="F294" s="3" t="str">
        <v>/Users/aryankeshri/conductor/workspaces/research-and-data/jerusalem-v1/.artifacts/zafran-three-model-medium-20260928/deepseek4pro-high/account-initial/dossier.json</v>
      </c>
    </row>
    <row r="295" ht="40" customHeight="1">
      <c r="A295" s="10" t="str">
        <v>Z5</v>
      </c>
      <c r="B295" s="10" t="str">
        <v>Run</v>
      </c>
      <c r="C295" s="10" t="str">
        <v>initial account dossier readable</v>
      </c>
      <c r="D295" s="24" t="str">
        <v>Open initial account dossier readable</v>
      </c>
      <c r="E295" s="10" t="str"/>
      <c r="F295" s="10" t="str">
        <v>/Users/aryankeshri/conductor/workspaces/research-and-data/jerusalem-v1/.artifacts/zafran-three-model-medium-20260928/deepseek4pro-high/account-initial/dossier.md</v>
      </c>
    </row>
    <row r="296" ht="40" customHeight="1">
      <c r="A296" s="3" t="str">
        <v>Z5</v>
      </c>
      <c r="B296" s="3" t="str">
        <v>Run</v>
      </c>
      <c r="C296" s="3" t="str">
        <v>initial account narrative</v>
      </c>
      <c r="D296" s="3" t="str">
        <v>Not produced / unavailable</v>
      </c>
      <c r="E296" s="3" t="str"/>
      <c r="F296" s="3"/>
    </row>
    <row r="297" ht="40" customHeight="1">
      <c r="A297" s="10" t="str">
        <v>Z5</v>
      </c>
      <c r="B297" s="10" t="str">
        <v>Run</v>
      </c>
      <c r="C297" s="10" t="str">
        <v>current account narrative</v>
      </c>
      <c r="D297" s="10" t="str">
        <v>Not produced / unavailable</v>
      </c>
      <c r="E297" s="10" t="str">
        <v>May include common Muse reconciliation.</v>
      </c>
      <c r="F297" s="10"/>
    </row>
    <row r="298" ht="40" customHeight="1">
      <c r="A298" s="3" t="str">
        <v>Z5</v>
      </c>
      <c r="B298" s="3" t="str">
        <v>Run</v>
      </c>
      <c r="C298" s="3" t="str">
        <v>intermediate exa dossier</v>
      </c>
      <c r="D298" s="3" t="str">
        <v>Not produced / unavailable</v>
      </c>
      <c r="E298" s="3" t="str"/>
      <c r="F298" s="3"/>
    </row>
    <row r="299" ht="40" customHeight="1">
      <c r="A299" s="10" t="str">
        <v>Z5</v>
      </c>
      <c r="B299" s="10" t="str">
        <v>Run</v>
      </c>
      <c r="C299" s="10" t="str">
        <v>raw sources manifest</v>
      </c>
      <c r="D299" s="24" t="str">
        <v>Open raw sources manifest</v>
      </c>
      <c r="E299" s="10" t="str"/>
      <c r="F299" s="10" t="str">
        <v>/Users/aryankeshri/conductor/workspaces/research-and-data/jerusalem-v1/.artifacts/zafran-three-model-medium-20260928/deepseek4pro-high/all-raw/manifest.json</v>
      </c>
    </row>
    <row r="300" ht="40" customHeight="1">
      <c r="A300" s="3" t="str">
        <v>Z5</v>
      </c>
      <c r="B300" s="3" t="str">
        <v>Run</v>
      </c>
      <c r="C300" s="3" t="str">
        <v>model calls csv</v>
      </c>
      <c r="D300" s="23" t="str">
        <v>Open model calls csv</v>
      </c>
      <c r="E300" s="3" t="str"/>
      <c r="F300" s="3" t="str">
        <v>/Users/aryankeshri/conductor/workspaces/research-and-data/jerusalem-v1/.artifacts/research-model-evaluation-20260928/deepseek4pro-high-model-calls.csv</v>
      </c>
    </row>
    <row r="301" ht="40" customHeight="1">
      <c r="A301" s="10" t="str">
        <v>Z5</v>
      </c>
      <c r="B301" s="10" t="str">
        <v>Run</v>
      </c>
      <c r="C301" s="10" t="str">
        <v>tool activity</v>
      </c>
      <c r="D301" s="24" t="str">
        <v>Open tool activity</v>
      </c>
      <c r="E301" s="10" t="str"/>
      <c r="F301" s="10" t="str">
        <v>/Users/aryankeshri/conductor/workspaces/research-and-data/jerusalem-v1/.artifacts/zafran-three-model-medium-20260928/deepseek4pro-high/final-tool-activity.md</v>
      </c>
    </row>
    <row r="302" ht="40" customHeight="1">
      <c r="A302" s="3" t="str">
        <v>Z5</v>
      </c>
      <c r="B302" s="3" t="str">
        <v>Run</v>
      </c>
      <c r="C302" s="3" t="str">
        <v>database audit</v>
      </c>
      <c r="D302" s="23" t="str">
        <v>Open database audit</v>
      </c>
      <c r="E302" s="3" t="str"/>
      <c r="F302" s="3" t="str">
        <v>/Users/aryankeshri/conductor/workspaces/research-and-data/jerusalem-v1/.artifacts/zafran-three-model-medium-20260928/deepseek4pro-high/review/audit.json</v>
      </c>
    </row>
    <row r="303" ht="40" customHeight="1">
      <c r="A303" s="10" t="str">
        <v>Z5</v>
      </c>
      <c r="B303" s="10" t="str">
        <v>Run</v>
      </c>
      <c r="C303" s="10" t="str">
        <v>job snapshot</v>
      </c>
      <c r="D303" s="24" t="str">
        <v>Open job snapshot</v>
      </c>
      <c r="E303" s="10" t="str"/>
      <c r="F303" s="10" t="str">
        <v>/Users/aryankeshri/conductor/workspaces/research-and-data/jerusalem-v1/.artifacts/zafran-three-model-medium-20260928/deepseek4pro-high/review/arv2_research_job.json</v>
      </c>
    </row>
    <row r="304" ht="40" customHeight="1">
      <c r="A304" s="3" t="str">
        <v>Z5</v>
      </c>
      <c r="B304" s="3" t="str">
        <v>Run</v>
      </c>
      <c r="C304" s="3" t="str">
        <v>provider ledger</v>
      </c>
      <c r="D304" s="23" t="str">
        <v>Open provider ledger</v>
      </c>
      <c r="E304" s="3" t="str"/>
      <c r="F304" s="3" t="str">
        <v>/Users/aryankeshri/conductor/workspaces/research-and-data/jerusalem-v1/.artifacts/zafran-three-model-medium-20260928/deepseek4pro-high/review/provider_call_ledger.json</v>
      </c>
    </row>
    <row r="305" ht="40" customHeight="1">
      <c r="A305" s="10" t="str">
        <v>Z5</v>
      </c>
      <c r="B305" s="10" t="str">
        <v>Run</v>
      </c>
      <c r="C305" s="10" t="str">
        <v>reconciliation snapshot</v>
      </c>
      <c r="D305" s="24" t="str">
        <v>Open reconciliation snapshot</v>
      </c>
      <c r="E305" s="10" t="str"/>
      <c r="F305" s="10" t="str">
        <v>/Users/aryankeshri/conductor/workspaces/research-and-data/jerusalem-v1/.artifacts/zafran-three-model-medium-20260928/deepseek4pro-high/review/arv2_narrative_reconciliation.json</v>
      </c>
    </row>
    <row r="306" ht="40" customHeight="1">
      <c r="A306" s="3" t="str">
        <v>Z5</v>
      </c>
      <c r="B306" s="3" t="str">
        <v>Run</v>
      </c>
      <c r="C306" s="3" t="str">
        <v>timing</v>
      </c>
      <c r="D306" s="23" t="str">
        <v>Open timing</v>
      </c>
      <c r="E306" s="3" t="str"/>
      <c r="F306" s="3" t="str">
        <v>/Users/aryankeshri/conductor/workspaces/research-and-data/jerusalem-v1/.artifacts/zafran-three-model-medium-20260928/deepseek4pro-high/timing.json</v>
      </c>
    </row>
    <row r="307" ht="40" customHeight="1">
      <c r="A307" s="10" t="str">
        <v>Z5</v>
      </c>
      <c r="B307" s="10" t="str">
        <v>Run</v>
      </c>
      <c r="C307" s="10" t="str">
        <v>trace verification</v>
      </c>
      <c r="D307" s="24" t="str">
        <v>Open trace verification</v>
      </c>
      <c r="E307" s="10" t="str"/>
      <c r="F307" s="10" t="str">
        <v>/Users/aryankeshri/conductor/workspaces/research-and-data/jerusalem-v1/.artifacts/zafran-three-model-medium-20260928/deepseek4pro-high/trace-verification.json</v>
      </c>
    </row>
    <row r="308" ht="40" customHeight="1">
      <c r="A308" s="3" t="str">
        <v>Z5</v>
      </c>
      <c r="B308" s="3" t="str">
        <v>Run</v>
      </c>
      <c r="C308" s="3" t="str">
        <v>skill reads</v>
      </c>
      <c r="D308" s="23" t="str">
        <v>Open skill reads</v>
      </c>
      <c r="E308" s="3" t="str"/>
      <c r="F308" s="3" t="str">
        <v>/Users/aryankeshri/conductor/workspaces/research-and-data/jerusalem-v1/.artifacts/zafran-three-model-medium-20260928/deepseek4pro-high/skill-read-evidence.json</v>
      </c>
    </row>
    <row r="309" ht="40" customHeight="1">
      <c r="A309" s="10" t="str">
        <v>Z5</v>
      </c>
      <c r="B309" s="10" t="str">
        <v>Run / reconciliation</v>
      </c>
      <c r="C309" s="10" t="str">
        <v>Langfuse trace</v>
      </c>
      <c r="D309" s="24" t="str">
        <v>Open Langfuse trace</v>
      </c>
      <c r="E309" s="10" t="str"/>
      <c r="F309" s="10" t="str">
        <v>https://us.cloud.langfuse.com/project/cmu2j8vra0137ad0clp5vylx2/traces/6b4da01eb07ef9a8ec57c0f15b288de0</v>
      </c>
    </row>
    <row r="310" ht="40" customHeight="1">
      <c r="A310" s="3" t="str">
        <v>Z5</v>
      </c>
      <c r="B310" s="3" t="str">
        <v>Run / reconciliation</v>
      </c>
      <c r="C310" s="3" t="str">
        <v>Langfuse trace</v>
      </c>
      <c r="D310" s="23" t="str">
        <v>Open Langfuse trace</v>
      </c>
      <c r="E310" s="3" t="str"/>
      <c r="F310" s="3" t="str">
        <v>https://us.cloud.langfuse.com/project/cmu2j8vra0137ad0clp5vylx2/traces/889dc8bf365e27725d163fd0668a34e7</v>
      </c>
    </row>
    <row r="311" ht="40" customHeight="1">
      <c r="A311" s="10" t="str">
        <v>Z5</v>
      </c>
      <c r="B311" s="10" t="str">
        <v>Run / reconciliation</v>
      </c>
      <c r="C311" s="10" t="str">
        <v>Langfuse trace</v>
      </c>
      <c r="D311" s="24" t="str">
        <v>Open Langfuse trace</v>
      </c>
      <c r="E311" s="10" t="str"/>
      <c r="F311" s="10" t="str">
        <v>https://us.cloud.langfuse.com/project/cmu2j8vra0137ad0clp5vylx2/traces/bcdc2cb74109684e8563960111250742</v>
      </c>
    </row>
    <row r="312" ht="40" customHeight="1">
      <c r="A312" s="3" t="str">
        <v>Z5</v>
      </c>
      <c r="B312" s="3" t="str">
        <v>Run</v>
      </c>
      <c r="C312" s="3" t="str">
        <v>failure inventory</v>
      </c>
      <c r="D312" s="23" t="str">
        <v>Open failure inventory</v>
      </c>
      <c r="E312" s="3" t="str"/>
      <c r="F312" s="3" t="str">
        <v>/Users/aryankeshri/conductor/workspaces/research-and-data/jerusalem-v1/.artifacts/research-model-evaluation-20260928/FAILURES-ZAFRAN.md</v>
      </c>
    </row>
    <row r="313" ht="54" customHeight="1">
      <c r="A313" s="10" t="str">
        <v>Z6</v>
      </c>
      <c r="B313" s="10" t="str">
        <v>Zafran Security</v>
      </c>
      <c r="C313" s="10" t="str">
        <v>dossier json</v>
      </c>
      <c r="D313" s="24" t="str">
        <v>Open dossier json</v>
      </c>
      <c r="E313" s="10" t="str"/>
      <c r="F313" s="10" t="str">
        <v>/Users/aryankeshri/conductor/workspaces/research-and-data/jerusalem-v1/.artifacts/zafran-three-model-medium-20260928/muse-max/review/59d4870e-2207-56ca-a50b-e76ab86f6a53/dossier.json</v>
      </c>
    </row>
    <row r="314" ht="54" customHeight="1">
      <c r="A314" s="3" t="str">
        <v>Z6</v>
      </c>
      <c r="B314" s="3" t="str">
        <v>Zafran Security</v>
      </c>
      <c r="C314" s="3" t="str">
        <v>dossier readable</v>
      </c>
      <c r="D314" s="23" t="str">
        <v>Open dossier readable</v>
      </c>
      <c r="E314" s="3" t="str"/>
      <c r="F314" s="3" t="str">
        <v>/Users/aryankeshri/conductor/workspaces/research-and-data/jerusalem-v1/.artifacts/zafran-three-model-medium-20260928/muse-max/review/59d4870e-2207-56ca-a50b-e76ab86f6a53/dossier.md</v>
      </c>
    </row>
    <row r="315" ht="40" customHeight="1">
      <c r="A315" s="10" t="str">
        <v>Z6</v>
      </c>
      <c r="B315" s="10" t="str">
        <v>Zafran Security</v>
      </c>
      <c r="C315" s="10" t="str">
        <v>narrative markdown</v>
      </c>
      <c r="D315" s="24" t="str">
        <v>Open narrative markdown</v>
      </c>
      <c r="E315" s="10" t="str">
        <v>Current stored page; initial researcher page listed separately.</v>
      </c>
      <c r="F315" s="10" t="str">
        <v>/Users/aryankeshri/conductor/workspaces/research-and-data/jerusalem-v1/.artifacts/zafran-three-model-medium-20260928/muse-max/account/page.md</v>
      </c>
    </row>
    <row r="316" ht="40" customHeight="1">
      <c r="A316" s="3" t="str">
        <v>Z6</v>
      </c>
      <c r="B316" s="3" t="str">
        <v>Zafran Security</v>
      </c>
      <c r="C316" s="3" t="str">
        <v>narrative html</v>
      </c>
      <c r="D316" s="3" t="str">
        <v>Not produced / unavailable</v>
      </c>
      <c r="E316" s="3" t="str"/>
      <c r="F316" s="3"/>
    </row>
    <row r="317" ht="40" customHeight="1">
      <c r="A317" s="10" t="str">
        <v>Z6</v>
      </c>
      <c r="B317" s="10" t="str">
        <v>Zafran Security</v>
      </c>
      <c r="C317" s="10" t="str">
        <v>narrative blocks</v>
      </c>
      <c r="D317" s="24" t="str">
        <v>Open narrative blocks</v>
      </c>
      <c r="E317" s="10" t="str"/>
      <c r="F317" s="10" t="str">
        <v>/Users/aryankeshri/conductor/workspaces/research-and-data/jerusalem-v1/.artifacts/zafran-three-model-medium-20260928/muse-max/account/display-blocks.json</v>
      </c>
    </row>
    <row r="318" ht="40" customHeight="1">
      <c r="A318" s="3" t="str">
        <v>Z6</v>
      </c>
      <c r="B318" s="3" t="str">
        <v>Zafran Security</v>
      </c>
      <c r="C318" s="3" t="str">
        <v>uncommitted narrative json</v>
      </c>
      <c r="D318" s="3" t="str">
        <v>Not produced / unavailable</v>
      </c>
      <c r="E318" s="3" t="str"/>
      <c r="F318" s="3"/>
    </row>
    <row r="319" ht="40" customHeight="1">
      <c r="A319" s="10" t="str">
        <v>Z6</v>
      </c>
      <c r="B319" s="10" t="str">
        <v>Zafran Security</v>
      </c>
      <c r="C319" s="10" t="str">
        <v>Langfuse execution</v>
      </c>
      <c r="D319" s="24" t="str">
        <v>Open Langfuse execution</v>
      </c>
      <c r="E319" s="10" t="str"/>
      <c r="F319" s="10" t="str">
        <v>https://us.cloud.langfuse.com/project/cmu2j8vra0137ad0clp5vylx2/traces/2b1c6302815f8d74a85af0d774c1f599</v>
      </c>
    </row>
    <row r="320" ht="54" customHeight="1">
      <c r="A320" s="3" t="str">
        <v>Z6</v>
      </c>
      <c r="B320" s="3" t="str">
        <v>Nick Fisher</v>
      </c>
      <c r="C320" s="3" t="str">
        <v>dossier json</v>
      </c>
      <c r="D320" s="23" t="str">
        <v>Open dossier json</v>
      </c>
      <c r="E320" s="3" t="str"/>
      <c r="F320" s="3" t="str">
        <v>/Users/aryankeshri/conductor/workspaces/research-and-data/jerusalem-v1/.artifacts/zafran-three-model-medium-20260928/muse-max/review/41ba4d68-d1da-57fd-9163-a0ec041a44bd/dossier.json</v>
      </c>
    </row>
    <row r="321" ht="54" customHeight="1">
      <c r="A321" s="10" t="str">
        <v>Z6</v>
      </c>
      <c r="B321" s="10" t="str">
        <v>Nick Fisher</v>
      </c>
      <c r="C321" s="10" t="str">
        <v>dossier readable</v>
      </c>
      <c r="D321" s="24" t="str">
        <v>Open dossier readable</v>
      </c>
      <c r="E321" s="10" t="str"/>
      <c r="F321" s="10" t="str">
        <v>/Users/aryankeshri/conductor/workspaces/research-and-data/jerusalem-v1/.artifacts/zafran-three-model-medium-20260928/muse-max/review/41ba4d68-d1da-57fd-9163-a0ec041a44bd/dossier.md</v>
      </c>
    </row>
    <row r="322" ht="40" customHeight="1">
      <c r="A322" s="3" t="str">
        <v>Z6</v>
      </c>
      <c r="B322" s="3" t="str">
        <v>Nick Fisher</v>
      </c>
      <c r="C322" s="3" t="str">
        <v>narrative markdown</v>
      </c>
      <c r="D322" s="3" t="str">
        <v>Not produced / unavailable</v>
      </c>
      <c r="E322" s="3" t="str"/>
      <c r="F322" s="3"/>
    </row>
    <row r="323" ht="40" customHeight="1">
      <c r="A323" s="10" t="str">
        <v>Z6</v>
      </c>
      <c r="B323" s="10" t="str">
        <v>Nick Fisher</v>
      </c>
      <c r="C323" s="10" t="str">
        <v>narrative html</v>
      </c>
      <c r="D323" s="10" t="str">
        <v>Not produced / unavailable</v>
      </c>
      <c r="E323" s="10" t="str"/>
      <c r="F323" s="10"/>
    </row>
    <row r="324" ht="40" customHeight="1">
      <c r="A324" s="3" t="str">
        <v>Z6</v>
      </c>
      <c r="B324" s="3" t="str">
        <v>Nick Fisher</v>
      </c>
      <c r="C324" s="3" t="str">
        <v>narrative blocks</v>
      </c>
      <c r="D324" s="3" t="str">
        <v>Not produced / unavailable</v>
      </c>
      <c r="E324" s="3" t="str"/>
      <c r="F324" s="3"/>
    </row>
    <row r="325" ht="40" customHeight="1">
      <c r="A325" s="10" t="str">
        <v>Z6</v>
      </c>
      <c r="B325" s="10" t="str">
        <v>Nick Fisher</v>
      </c>
      <c r="C325" s="10" t="str">
        <v>uncommitted narrative json</v>
      </c>
      <c r="D325" s="10" t="str">
        <v>Not produced / unavailable</v>
      </c>
      <c r="E325" s="10" t="str"/>
      <c r="F325" s="10"/>
    </row>
    <row r="326" ht="40" customHeight="1">
      <c r="A326" s="3" t="str">
        <v>Z6</v>
      </c>
      <c r="B326" s="3" t="str">
        <v>Nick Fisher</v>
      </c>
      <c r="C326" s="3" t="str">
        <v>Langfuse execution</v>
      </c>
      <c r="D326" s="23" t="str">
        <v>Open Langfuse execution</v>
      </c>
      <c r="E326" s="3" t="str"/>
      <c r="F326" s="3" t="str">
        <v>https://us.cloud.langfuse.com/project/cmu2j8vra0137ad0clp5vylx2/traces/61b9dad798d5f67e468f2d9ef5d840c6</v>
      </c>
    </row>
    <row r="327" ht="54" customHeight="1">
      <c r="A327" s="10" t="str">
        <v>Z6</v>
      </c>
      <c r="B327" s="10" t="str">
        <v>Vari Kaur</v>
      </c>
      <c r="C327" s="10" t="str">
        <v>dossier json</v>
      </c>
      <c r="D327" s="24" t="str">
        <v>Open dossier json</v>
      </c>
      <c r="E327" s="10" t="str"/>
      <c r="F327" s="10" t="str">
        <v>/Users/aryankeshri/conductor/workspaces/research-and-data/jerusalem-v1/.artifacts/zafran-three-model-medium-20260928/muse-max/review/92047fb7-01a5-5611-802e-c886da87eb6a/dossier.json</v>
      </c>
    </row>
    <row r="328" ht="54" customHeight="1">
      <c r="A328" s="3" t="str">
        <v>Z6</v>
      </c>
      <c r="B328" s="3" t="str">
        <v>Vari Kaur</v>
      </c>
      <c r="C328" s="3" t="str">
        <v>dossier readable</v>
      </c>
      <c r="D328" s="23" t="str">
        <v>Open dossier readable</v>
      </c>
      <c r="E328" s="3" t="str"/>
      <c r="F328" s="3" t="str">
        <v>/Users/aryankeshri/conductor/workspaces/research-and-data/jerusalem-v1/.artifacts/zafran-three-model-medium-20260928/muse-max/review/92047fb7-01a5-5611-802e-c886da87eb6a/dossier.md</v>
      </c>
    </row>
    <row r="329" ht="40" customHeight="1">
      <c r="A329" s="10" t="str">
        <v>Z6</v>
      </c>
      <c r="B329" s="10" t="str">
        <v>Vari Kaur</v>
      </c>
      <c r="C329" s="10" t="str">
        <v>narrative markdown</v>
      </c>
      <c r="D329" s="10" t="str">
        <v>Not produced / unavailable</v>
      </c>
      <c r="E329" s="10" t="str"/>
      <c r="F329" s="10"/>
    </row>
    <row r="330" ht="40" customHeight="1">
      <c r="A330" s="3" t="str">
        <v>Z6</v>
      </c>
      <c r="B330" s="3" t="str">
        <v>Vari Kaur</v>
      </c>
      <c r="C330" s="3" t="str">
        <v>narrative html</v>
      </c>
      <c r="D330" s="3" t="str">
        <v>Not produced / unavailable</v>
      </c>
      <c r="E330" s="3" t="str"/>
      <c r="F330" s="3"/>
    </row>
    <row r="331" ht="40" customHeight="1">
      <c r="A331" s="10" t="str">
        <v>Z6</v>
      </c>
      <c r="B331" s="10" t="str">
        <v>Vari Kaur</v>
      </c>
      <c r="C331" s="10" t="str">
        <v>narrative blocks</v>
      </c>
      <c r="D331" s="10" t="str">
        <v>Not produced / unavailable</v>
      </c>
      <c r="E331" s="10" t="str"/>
      <c r="F331" s="10"/>
    </row>
    <row r="332" ht="54" customHeight="1">
      <c r="A332" s="3" t="str">
        <v>Z6</v>
      </c>
      <c r="B332" s="3" t="str">
        <v>Vari Kaur</v>
      </c>
      <c r="C332" s="3" t="str">
        <v>uncommitted narrative json</v>
      </c>
      <c r="D332" s="23" t="str">
        <v>Open uncommitted narrative json</v>
      </c>
      <c r="E332" s="3" t="str"/>
      <c r="F332" s="3" t="str">
        <v>/Users/aryankeshri/conductor/workspaces/research-and-data/jerusalem-v1/.artifacts/zafran-three-model-medium-20260928/muse-max/review/92047fb7-01a5-5611-802e-c886da87eb6a/narrative-payload.json</v>
      </c>
    </row>
    <row r="333" ht="40" customHeight="1">
      <c r="A333" s="10" t="str">
        <v>Z6</v>
      </c>
      <c r="B333" s="10" t="str">
        <v>Vari Kaur</v>
      </c>
      <c r="C333" s="10" t="str">
        <v>Langfuse execution</v>
      </c>
      <c r="D333" s="24" t="str">
        <v>Open Langfuse execution</v>
      </c>
      <c r="E333" s="10" t="str"/>
      <c r="F333" s="10" t="str">
        <v>https://us.cloud.langfuse.com/project/cmu2j8vra0137ad0clp5vylx2/traces/a7b5aeb0b9b65ea305b4700b1981fe47</v>
      </c>
    </row>
    <row r="334" ht="40" customHeight="1">
      <c r="A334" s="3" t="str">
        <v>Z6</v>
      </c>
      <c r="B334" s="3" t="str">
        <v>Run</v>
      </c>
      <c r="C334" s="3" t="str">
        <v>report</v>
      </c>
      <c r="D334" s="23" t="str">
        <v>Open report</v>
      </c>
      <c r="E334" s="3" t="str"/>
      <c r="F334" s="3" t="str">
        <v>/Users/aryankeshri/conductor/workspaces/research-and-data/jerusalem-v1/.artifacts/zafran-three-model-medium-20260928/muse-max/REPORT.md</v>
      </c>
    </row>
    <row r="335" ht="40" customHeight="1">
      <c r="A335" s="10" t="str">
        <v>Z6</v>
      </c>
      <c r="B335" s="10" t="str">
        <v>Run</v>
      </c>
      <c r="C335" s="10" t="str">
        <v>initial account dossier json</v>
      </c>
      <c r="D335" s="24" t="str">
        <v>Open initial account dossier json</v>
      </c>
      <c r="E335" s="10" t="str"/>
      <c r="F335" s="10" t="str">
        <v>/Users/aryankeshri/conductor/workspaces/research-and-data/jerusalem-v1/.artifacts/zafran-three-model-medium-20260928/muse-max/account-initial/dossier.json</v>
      </c>
    </row>
    <row r="336" ht="40" customHeight="1">
      <c r="A336" s="3" t="str">
        <v>Z6</v>
      </c>
      <c r="B336" s="3" t="str">
        <v>Run</v>
      </c>
      <c r="C336" s="3" t="str">
        <v>initial account dossier readable</v>
      </c>
      <c r="D336" s="23" t="str">
        <v>Open initial account dossier readable</v>
      </c>
      <c r="E336" s="3" t="str"/>
      <c r="F336" s="3" t="str">
        <v>/Users/aryankeshri/conductor/workspaces/research-and-data/jerusalem-v1/.artifacts/zafran-three-model-medium-20260928/muse-max/account-initial/dossier.md</v>
      </c>
    </row>
    <row r="337" ht="40" customHeight="1">
      <c r="A337" s="10" t="str">
        <v>Z6</v>
      </c>
      <c r="B337" s="10" t="str">
        <v>Run</v>
      </c>
      <c r="C337" s="10" t="str">
        <v>initial account narrative</v>
      </c>
      <c r="D337" s="24" t="str">
        <v>Open initial account narrative</v>
      </c>
      <c r="E337" s="10" t="str"/>
      <c r="F337" s="10" t="str">
        <v>/Users/aryankeshri/conductor/workspaces/research-and-data/jerusalem-v1/.artifacts/zafran-three-model-medium-20260928/muse-max/account-initial/page.md</v>
      </c>
    </row>
    <row r="338" ht="40" customHeight="1">
      <c r="A338" s="3" t="str">
        <v>Z6</v>
      </c>
      <c r="B338" s="3" t="str">
        <v>Run</v>
      </c>
      <c r="C338" s="3" t="str">
        <v>current account narrative</v>
      </c>
      <c r="D338" s="23" t="str">
        <v>Open current account narrative</v>
      </c>
      <c r="E338" s="3" t="str">
        <v>May include common Muse reconciliation.</v>
      </c>
      <c r="F338" s="3" t="str">
        <v>/Users/aryankeshri/conductor/workspaces/research-and-data/jerusalem-v1/.artifacts/zafran-three-model-medium-20260928/muse-max/account/page.md</v>
      </c>
    </row>
    <row r="339" ht="40" customHeight="1">
      <c r="A339" s="10" t="str">
        <v>Z6</v>
      </c>
      <c r="B339" s="10" t="str">
        <v>Run</v>
      </c>
      <c r="C339" s="10" t="str">
        <v>intermediate exa dossier</v>
      </c>
      <c r="D339" s="10" t="str">
        <v>Not produced / unavailable</v>
      </c>
      <c r="E339" s="10" t="str"/>
      <c r="F339" s="10"/>
    </row>
    <row r="340" ht="40" customHeight="1">
      <c r="A340" s="3" t="str">
        <v>Z6</v>
      </c>
      <c r="B340" s="3" t="str">
        <v>Run</v>
      </c>
      <c r="C340" s="3" t="str">
        <v>raw sources manifest</v>
      </c>
      <c r="D340" s="23" t="str">
        <v>Open raw sources manifest</v>
      </c>
      <c r="E340" s="3" t="str"/>
      <c r="F340" s="3" t="str">
        <v>/Users/aryankeshri/conductor/workspaces/research-and-data/jerusalem-v1/.artifacts/zafran-three-model-medium-20260928/muse-max/all-raw/manifest.json</v>
      </c>
    </row>
    <row r="341" ht="40" customHeight="1">
      <c r="A341" s="10" t="str">
        <v>Z6</v>
      </c>
      <c r="B341" s="10" t="str">
        <v>Run</v>
      </c>
      <c r="C341" s="10" t="str">
        <v>model calls csv</v>
      </c>
      <c r="D341" s="24" t="str">
        <v>Open model calls csv</v>
      </c>
      <c r="E341" s="10" t="str"/>
      <c r="F341" s="10" t="str">
        <v>/Users/aryankeshri/conductor/workspaces/research-and-data/jerusalem-v1/.artifacts/research-model-evaluation-20260928/muse-max-model-calls.csv</v>
      </c>
    </row>
    <row r="342" ht="40" customHeight="1">
      <c r="A342" s="3" t="str">
        <v>Z6</v>
      </c>
      <c r="B342" s="3" t="str">
        <v>Run</v>
      </c>
      <c r="C342" s="3" t="str">
        <v>tool activity</v>
      </c>
      <c r="D342" s="23" t="str">
        <v>Open tool activity</v>
      </c>
      <c r="E342" s="3" t="str"/>
      <c r="F342" s="3" t="str">
        <v>/Users/aryankeshri/conductor/workspaces/research-and-data/jerusalem-v1/.artifacts/zafran-three-model-medium-20260928/muse-max/tool-activity.md</v>
      </c>
    </row>
    <row r="343" ht="40" customHeight="1">
      <c r="A343" s="10" t="str">
        <v>Z6</v>
      </c>
      <c r="B343" s="10" t="str">
        <v>Run</v>
      </c>
      <c r="C343" s="10" t="str">
        <v>database audit</v>
      </c>
      <c r="D343" s="24" t="str">
        <v>Open database audit</v>
      </c>
      <c r="E343" s="10" t="str"/>
      <c r="F343" s="10" t="str">
        <v>/Users/aryankeshri/conductor/workspaces/research-and-data/jerusalem-v1/.artifacts/zafran-three-model-medium-20260928/muse-max/review/audit.json</v>
      </c>
    </row>
    <row r="344" ht="40" customHeight="1">
      <c r="A344" s="3" t="str">
        <v>Z6</v>
      </c>
      <c r="B344" s="3" t="str">
        <v>Run</v>
      </c>
      <c r="C344" s="3" t="str">
        <v>job snapshot</v>
      </c>
      <c r="D344" s="23" t="str">
        <v>Open job snapshot</v>
      </c>
      <c r="E344" s="3" t="str"/>
      <c r="F344" s="3" t="str">
        <v>/Users/aryankeshri/conductor/workspaces/research-and-data/jerusalem-v1/.artifacts/zafran-three-model-medium-20260928/muse-max/review/arv2_research_job.json</v>
      </c>
    </row>
    <row r="345" ht="40" customHeight="1">
      <c r="A345" s="10" t="str">
        <v>Z6</v>
      </c>
      <c r="B345" s="10" t="str">
        <v>Run</v>
      </c>
      <c r="C345" s="10" t="str">
        <v>provider ledger</v>
      </c>
      <c r="D345" s="24" t="str">
        <v>Open provider ledger</v>
      </c>
      <c r="E345" s="10" t="str"/>
      <c r="F345" s="10" t="str">
        <v>/Users/aryankeshri/conductor/workspaces/research-and-data/jerusalem-v1/.artifacts/zafran-three-model-medium-20260928/muse-max/review/provider_call_ledger.json</v>
      </c>
    </row>
    <row r="346" ht="40" customHeight="1">
      <c r="A346" s="3" t="str">
        <v>Z6</v>
      </c>
      <c r="B346" s="3" t="str">
        <v>Run</v>
      </c>
      <c r="C346" s="3" t="str">
        <v>reconciliation snapshot</v>
      </c>
      <c r="D346" s="23" t="str">
        <v>Open reconciliation snapshot</v>
      </c>
      <c r="E346" s="3" t="str"/>
      <c r="F346" s="3" t="str">
        <v>/Users/aryankeshri/conductor/workspaces/research-and-data/jerusalem-v1/.artifacts/zafran-three-model-medium-20260928/muse-max/review/arv2_narrative_reconciliation.json</v>
      </c>
    </row>
    <row r="347" ht="40" customHeight="1">
      <c r="A347" s="10" t="str">
        <v>Z6</v>
      </c>
      <c r="B347" s="10" t="str">
        <v>Run</v>
      </c>
      <c r="C347" s="10" t="str">
        <v>timing</v>
      </c>
      <c r="D347" s="24" t="str">
        <v>Open timing</v>
      </c>
      <c r="E347" s="10" t="str"/>
      <c r="F347" s="10" t="str">
        <v>/Users/aryankeshri/conductor/workspaces/research-and-data/jerusalem-v1/.artifacts/zafran-three-model-medium-20260928/muse-max/timing.json</v>
      </c>
    </row>
    <row r="348" ht="40" customHeight="1">
      <c r="A348" s="3" t="str">
        <v>Z6</v>
      </c>
      <c r="B348" s="3" t="str">
        <v>Run</v>
      </c>
      <c r="C348" s="3" t="str">
        <v>trace verification</v>
      </c>
      <c r="D348" s="23" t="str">
        <v>Open trace verification</v>
      </c>
      <c r="E348" s="3" t="str"/>
      <c r="F348" s="3" t="str">
        <v>/Users/aryankeshri/conductor/workspaces/research-and-data/jerusalem-v1/.artifacts/zafran-three-model-medium-20260928/muse-max/trace-verification.json</v>
      </c>
    </row>
    <row r="349" ht="40" customHeight="1">
      <c r="A349" s="10" t="str">
        <v>Z6</v>
      </c>
      <c r="B349" s="10" t="str">
        <v>Run</v>
      </c>
      <c r="C349" s="10" t="str">
        <v>skill reads</v>
      </c>
      <c r="D349" s="24" t="str">
        <v>Open skill reads</v>
      </c>
      <c r="E349" s="10" t="str"/>
      <c r="F349" s="10" t="str">
        <v>/Users/aryankeshri/conductor/workspaces/research-and-data/jerusalem-v1/.artifacts/zafran-three-model-medium-20260928/muse-max/skill-read-evidence.json</v>
      </c>
    </row>
    <row r="350" ht="40" customHeight="1">
      <c r="A350" s="3" t="str">
        <v>Z6</v>
      </c>
      <c r="B350" s="3" t="str">
        <v>Run / reconciliation</v>
      </c>
      <c r="C350" s="3" t="str">
        <v>Langfuse trace</v>
      </c>
      <c r="D350" s="23" t="str">
        <v>Open Langfuse trace</v>
      </c>
      <c r="E350" s="3" t="str"/>
      <c r="F350" s="3" t="str">
        <v>https://us.cloud.langfuse.com/project/cmu2j8vra0137ad0clp5vylx2/traces/2b1c6302815f8d74a85af0d774c1f599</v>
      </c>
    </row>
    <row r="351" ht="40" customHeight="1">
      <c r="A351" s="10" t="str">
        <v>Z6</v>
      </c>
      <c r="B351" s="10" t="str">
        <v>Run / reconciliation</v>
      </c>
      <c r="C351" s="10" t="str">
        <v>Langfuse trace</v>
      </c>
      <c r="D351" s="24" t="str">
        <v>Open Langfuse trace</v>
      </c>
      <c r="E351" s="10" t="str"/>
      <c r="F351" s="10" t="str">
        <v>https://us.cloud.langfuse.com/project/cmu2j8vra0137ad0clp5vylx2/traces/61b9dad798d5f67e468f2d9ef5d840c6</v>
      </c>
    </row>
    <row r="352" ht="40" customHeight="1">
      <c r="A352" s="3" t="str">
        <v>Z6</v>
      </c>
      <c r="B352" s="3" t="str">
        <v>Run / reconciliation</v>
      </c>
      <c r="C352" s="3" t="str">
        <v>Langfuse trace</v>
      </c>
      <c r="D352" s="23" t="str">
        <v>Open Langfuse trace</v>
      </c>
      <c r="E352" s="3" t="str"/>
      <c r="F352" s="3" t="str">
        <v>https://us.cloud.langfuse.com/project/cmu2j8vra0137ad0clp5vylx2/traces/a7b5aeb0b9b65ea305b4700b1981fe47</v>
      </c>
    </row>
    <row r="353" ht="40" customHeight="1">
      <c r="A353" s="10" t="str">
        <v>Z6</v>
      </c>
      <c r="B353" s="10" t="str">
        <v>Run</v>
      </c>
      <c r="C353" s="10" t="str">
        <v>failure inventory</v>
      </c>
      <c r="D353" s="24" t="str">
        <v>Open failure inventory</v>
      </c>
      <c r="E353" s="10" t="str"/>
      <c r="F353" s="10" t="str">
        <v>/Users/aryankeshri/conductor/workspaces/research-and-data/jerusalem-v1/.artifacts/research-model-evaluation-20260928/FAILURES-ZAFRAN.md</v>
      </c>
    </row>
    <row r="354" ht="40" customHeight="1">
      <c r="A354" s="3" t="str">
        <v>S1</v>
      </c>
      <c r="B354" s="3" t="str">
        <v>Setup</v>
      </c>
      <c r="C354" s="3" t="str">
        <v>Attempt folder</v>
      </c>
      <c r="D354" s="23" t="str">
        <v>Open Attempt folder</v>
      </c>
      <c r="E354" s="3" t="str">
        <v>Setup only; no research output.</v>
      </c>
      <c r="F354" s="3" t="str">
        <v>/Users/aryankeshri/conductor/workspaces/research-and-data/jerusalem-v1/.artifacts/arv4-insight-premier-muse-20260928-run01</v>
      </c>
    </row>
    <row r="355" ht="40" customHeight="1">
      <c r="A355" s="10" t="str">
        <v>S2</v>
      </c>
      <c r="B355" s="10" t="str">
        <v>Setup</v>
      </c>
      <c r="C355" s="10" t="str">
        <v>Attempt folder</v>
      </c>
      <c r="D355" s="24" t="str">
        <v>Open Attempt folder</v>
      </c>
      <c r="E355" s="10" t="str">
        <v>Setup only; no research output.</v>
      </c>
      <c r="F355" s="10" t="str">
        <v>/Users/aryankeshri/conductor/workspaces/research-and-data/jerusalem-v1/.artifacts/arv4-insight-premier-muse-20260928-run02</v>
      </c>
    </row>
    <row r="356" ht="40" customHeight="1">
      <c r="A356" s="3" t="str">
        <v>S3</v>
      </c>
      <c r="B356" s="3" t="str">
        <v>Setup</v>
      </c>
      <c r="C356" s="3" t="str">
        <v>Attempt folder</v>
      </c>
      <c r="D356" s="23" t="str">
        <v>Open Attempt folder</v>
      </c>
      <c r="E356" s="3" t="str">
        <v>Setup only; no research output.</v>
      </c>
      <c r="F356" s="3" t="str">
        <v>/Users/aryankeshri/conductor/workspaces/research-and-data/jerusalem-v1/.artifacts/arv4-insight-premier-muse-20260928-run03</v>
      </c>
    </row>
  </sheetData>
  <mergeCells>
    <mergeCell ref="A1:F1"/>
    <mergeCell ref="A2:F3"/>
  </mergeCells>
  <hyperlinks>
    <hyperlink ref="D6" r:id="NativeLink1"/>
    <hyperlink ref="D7" r:id="NativeLink2"/>
    <hyperlink ref="D8" r:id="NativeLink3"/>
    <hyperlink ref="D9" r:id="NativeLink4"/>
    <hyperlink ref="D10" r:id="NativeLink5"/>
    <hyperlink ref="D12" r:id="NativeLink6"/>
    <hyperlink ref="D13" r:id="NativeLink7"/>
    <hyperlink ref="D14" r:id="NativeLink8"/>
    <hyperlink ref="D15" r:id="NativeLink9"/>
    <hyperlink ref="D16" r:id="NativeLink10"/>
    <hyperlink ref="D17" r:id="NativeLink11"/>
    <hyperlink ref="D18" r:id="NativeLink12"/>
    <hyperlink ref="D20" r:id="NativeLink13"/>
    <hyperlink ref="D21" r:id="NativeLink14"/>
    <hyperlink ref="D22" r:id="NativeLink15"/>
    <hyperlink ref="D23" r:id="NativeLink16"/>
    <hyperlink ref="D24" r:id="NativeLink17"/>
    <hyperlink ref="D25" r:id="NativeLink18"/>
    <hyperlink ref="D26" r:id="NativeLink19"/>
    <hyperlink ref="D27" r:id="NativeLink20"/>
    <hyperlink ref="D28" r:id="NativeLink21"/>
    <hyperlink ref="D29" r:id="NativeLink22"/>
    <hyperlink ref="D30" r:id="NativeLink23"/>
    <hyperlink ref="D31" r:id="NativeLink24"/>
    <hyperlink ref="D32" r:id="NativeLink25"/>
    <hyperlink ref="D33" r:id="NativeLink26"/>
    <hyperlink ref="D34" r:id="NativeLink27"/>
    <hyperlink ref="D36" r:id="NativeLink28"/>
    <hyperlink ref="D37" r:id="NativeLink29"/>
    <hyperlink ref="D44" r:id="NativeLink30"/>
    <hyperlink ref="D45" r:id="NativeLink31"/>
    <hyperlink ref="D46" r:id="NativeLink32"/>
    <hyperlink ref="D47" r:id="NativeLink33"/>
    <hyperlink ref="D48" r:id="NativeLink34"/>
    <hyperlink ref="D49" r:id="NativeLink35"/>
    <hyperlink ref="D50" r:id="NativeLink36"/>
    <hyperlink ref="D51" r:id="NativeLink37"/>
    <hyperlink ref="D52" r:id="NativeLink38"/>
    <hyperlink ref="D53" r:id="NativeLink39"/>
    <hyperlink ref="D54" r:id="NativeLink40"/>
    <hyperlink ref="D55" r:id="NativeLink41"/>
    <hyperlink ref="D57" r:id="NativeLink42"/>
    <hyperlink ref="D58" r:id="NativeLink43"/>
    <hyperlink ref="D59" r:id="NativeLink44"/>
    <hyperlink ref="D60" r:id="NativeLink45"/>
    <hyperlink ref="D61" r:id="NativeLink46"/>
    <hyperlink ref="D64" r:id="NativeLink47"/>
    <hyperlink ref="D65" r:id="NativeLink48"/>
    <hyperlink ref="D66" r:id="NativeLink49"/>
    <hyperlink ref="D67" r:id="NativeLink50"/>
    <hyperlink ref="D68" r:id="NativeLink51"/>
    <hyperlink ref="D69" r:id="NativeLink52"/>
    <hyperlink ref="D70" r:id="NativeLink53"/>
    <hyperlink ref="D71" r:id="NativeLink54"/>
    <hyperlink ref="D72" r:id="NativeLink55"/>
    <hyperlink ref="D73" r:id="NativeLink56"/>
    <hyperlink ref="D74" r:id="NativeLink57"/>
    <hyperlink ref="D75" r:id="NativeLink58"/>
    <hyperlink ref="D76" r:id="NativeLink59"/>
    <hyperlink ref="D77" r:id="NativeLink60"/>
    <hyperlink ref="D78" r:id="NativeLink61"/>
    <hyperlink ref="D79" r:id="NativeLink62"/>
    <hyperlink ref="D80" r:id="NativeLink63"/>
    <hyperlink ref="D82" r:id="NativeLink64"/>
    <hyperlink ref="D84" r:id="NativeLink65"/>
    <hyperlink ref="D85" r:id="NativeLink66"/>
    <hyperlink ref="D86" r:id="NativeLink67"/>
    <hyperlink ref="D87" r:id="NativeLink68"/>
    <hyperlink ref="D88" r:id="NativeLink69"/>
    <hyperlink ref="D89" r:id="NativeLink70"/>
    <hyperlink ref="D90" r:id="NativeLink71"/>
    <hyperlink ref="D92" r:id="NativeLink72"/>
    <hyperlink ref="D93" r:id="NativeLink73"/>
    <hyperlink ref="D94" r:id="NativeLink74"/>
    <hyperlink ref="D95" r:id="NativeLink75"/>
    <hyperlink ref="D96" r:id="NativeLink76"/>
    <hyperlink ref="D97" r:id="NativeLink77"/>
    <hyperlink ref="D98" r:id="NativeLink78"/>
    <hyperlink ref="D99" r:id="NativeLink79"/>
    <hyperlink ref="D100" r:id="NativeLink80"/>
    <hyperlink ref="D101" r:id="NativeLink81"/>
    <hyperlink ref="D102" r:id="NativeLink82"/>
    <hyperlink ref="D103" r:id="NativeLink83"/>
    <hyperlink ref="D104" r:id="NativeLink84"/>
    <hyperlink ref="D105" r:id="NativeLink85"/>
    <hyperlink ref="D106" r:id="NativeLink86"/>
    <hyperlink ref="D107" r:id="NativeLink87"/>
    <hyperlink ref="D108" r:id="NativeLink88"/>
    <hyperlink ref="D109" r:id="NativeLink89"/>
    <hyperlink ref="D111" r:id="NativeLink90"/>
    <hyperlink ref="D112" r:id="NativeLink91"/>
    <hyperlink ref="D119" r:id="NativeLink92"/>
    <hyperlink ref="D120" r:id="NativeLink93"/>
    <hyperlink ref="D121" r:id="NativeLink94"/>
    <hyperlink ref="D122" r:id="NativeLink95"/>
    <hyperlink ref="D123" r:id="NativeLink96"/>
    <hyperlink ref="D124" r:id="NativeLink97"/>
    <hyperlink ref="D125" r:id="NativeLink98"/>
    <hyperlink ref="D126" r:id="NativeLink99"/>
    <hyperlink ref="D127" r:id="NativeLink100"/>
    <hyperlink ref="D128" r:id="NativeLink101"/>
    <hyperlink ref="D129" r:id="NativeLink102"/>
    <hyperlink ref="D130" r:id="NativeLink103"/>
    <hyperlink ref="D131" r:id="NativeLink104"/>
    <hyperlink ref="D132" r:id="NativeLink105"/>
    <hyperlink ref="D133" r:id="NativeLink106"/>
    <hyperlink ref="D135" r:id="NativeLink107"/>
    <hyperlink ref="D137" r:id="NativeLink108"/>
    <hyperlink ref="D138" r:id="NativeLink109"/>
    <hyperlink ref="D139" r:id="NativeLink110"/>
    <hyperlink ref="D140" r:id="NativeLink111"/>
    <hyperlink ref="D142" r:id="NativeLink112"/>
    <hyperlink ref="D144" r:id="NativeLink113"/>
    <hyperlink ref="D145" r:id="NativeLink114"/>
    <hyperlink ref="D146" r:id="NativeLink115"/>
    <hyperlink ref="D147" r:id="NativeLink116"/>
    <hyperlink ref="D149" r:id="NativeLink117"/>
    <hyperlink ref="D151" r:id="NativeLink118"/>
    <hyperlink ref="D152" r:id="NativeLink119"/>
    <hyperlink ref="D153" r:id="NativeLink120"/>
    <hyperlink ref="D154" r:id="NativeLink121"/>
    <hyperlink ref="D155" r:id="NativeLink122"/>
    <hyperlink ref="D156" r:id="NativeLink123"/>
    <hyperlink ref="D158" r:id="NativeLink124"/>
    <hyperlink ref="D159" r:id="NativeLink125"/>
    <hyperlink ref="D160" r:id="NativeLink126"/>
    <hyperlink ref="D161" r:id="NativeLink127"/>
    <hyperlink ref="D162" r:id="NativeLink128"/>
    <hyperlink ref="D163" r:id="NativeLink129"/>
    <hyperlink ref="D164" r:id="NativeLink130"/>
    <hyperlink ref="D165" r:id="NativeLink131"/>
    <hyperlink ref="D166" r:id="NativeLink132"/>
    <hyperlink ref="D167" r:id="NativeLink133"/>
    <hyperlink ref="D168" r:id="NativeLink134"/>
    <hyperlink ref="D169" r:id="NativeLink135"/>
    <hyperlink ref="D170" r:id="NativeLink136"/>
    <hyperlink ref="D171" r:id="NativeLink137"/>
    <hyperlink ref="D172" r:id="NativeLink138"/>
    <hyperlink ref="D185" r:id="NativeLink139"/>
    <hyperlink ref="D186" r:id="NativeLink140"/>
    <hyperlink ref="D191" r:id="NativeLink141"/>
    <hyperlink ref="D192" r:id="NativeLink142"/>
    <hyperlink ref="D198" r:id="NativeLink143"/>
    <hyperlink ref="D199" r:id="NativeLink144"/>
    <hyperlink ref="D200" r:id="NativeLink145"/>
    <hyperlink ref="D201" r:id="NativeLink146"/>
    <hyperlink ref="D202" r:id="NativeLink147"/>
    <hyperlink ref="D203" r:id="NativeLink148"/>
    <hyperlink ref="D204" r:id="NativeLink149"/>
    <hyperlink ref="D205" r:id="NativeLink150"/>
    <hyperlink ref="D206" r:id="NativeLink151"/>
    <hyperlink ref="D207" r:id="NativeLink152"/>
    <hyperlink ref="D208" r:id="NativeLink153"/>
    <hyperlink ref="D209" r:id="NativeLink154"/>
    <hyperlink ref="D228" r:id="NativeLink155"/>
    <hyperlink ref="D229" r:id="NativeLink156"/>
    <hyperlink ref="D234" r:id="NativeLink157"/>
    <hyperlink ref="D235" r:id="NativeLink158"/>
    <hyperlink ref="D236" r:id="NativeLink159"/>
    <hyperlink ref="D237" r:id="NativeLink160"/>
    <hyperlink ref="D238" r:id="NativeLink161"/>
    <hyperlink ref="D239" r:id="NativeLink162"/>
    <hyperlink ref="D240" r:id="NativeLink163"/>
    <hyperlink ref="D241" r:id="NativeLink164"/>
    <hyperlink ref="D242" r:id="NativeLink165"/>
    <hyperlink ref="D243" r:id="NativeLink166"/>
    <hyperlink ref="D244" r:id="NativeLink167"/>
    <hyperlink ref="D245" r:id="NativeLink168"/>
    <hyperlink ref="D246" r:id="NativeLink169"/>
    <hyperlink ref="D253" r:id="NativeLink170"/>
    <hyperlink ref="D254" r:id="NativeLink171"/>
    <hyperlink ref="D259" r:id="NativeLink172"/>
    <hyperlink ref="D260" r:id="NativeLink173"/>
    <hyperlink ref="D261" r:id="NativeLink174"/>
    <hyperlink ref="D262" r:id="NativeLink175"/>
    <hyperlink ref="D263" r:id="NativeLink176"/>
    <hyperlink ref="D264" r:id="NativeLink177"/>
    <hyperlink ref="D265" r:id="NativeLink178"/>
    <hyperlink ref="D266" r:id="NativeLink179"/>
    <hyperlink ref="D267" r:id="NativeLink180"/>
    <hyperlink ref="D268" r:id="NativeLink181"/>
    <hyperlink ref="D269" r:id="NativeLink182"/>
    <hyperlink ref="D270" r:id="NativeLink183"/>
    <hyperlink ref="D271" r:id="NativeLink184"/>
    <hyperlink ref="D278" r:id="NativeLink185"/>
    <hyperlink ref="D279" r:id="NativeLink186"/>
    <hyperlink ref="D280" r:id="NativeLink187"/>
    <hyperlink ref="D285" r:id="NativeLink188"/>
    <hyperlink ref="D286" r:id="NativeLink189"/>
    <hyperlink ref="D287" r:id="NativeLink190"/>
    <hyperlink ref="D292" r:id="NativeLink191"/>
    <hyperlink ref="D293" r:id="NativeLink192"/>
    <hyperlink ref="D294" r:id="NativeLink193"/>
    <hyperlink ref="D295" r:id="NativeLink194"/>
    <hyperlink ref="D299" r:id="NativeLink195"/>
    <hyperlink ref="D300" r:id="NativeLink196"/>
    <hyperlink ref="D301" r:id="NativeLink197"/>
    <hyperlink ref="D302" r:id="NativeLink198"/>
    <hyperlink ref="D303" r:id="NativeLink199"/>
    <hyperlink ref="D304" r:id="NativeLink200"/>
    <hyperlink ref="D305" r:id="NativeLink201"/>
    <hyperlink ref="D306" r:id="NativeLink202"/>
    <hyperlink ref="D307" r:id="NativeLink203"/>
    <hyperlink ref="D308" r:id="NativeLink204"/>
    <hyperlink ref="D309" r:id="NativeLink205"/>
    <hyperlink ref="D310" r:id="NativeLink206"/>
    <hyperlink ref="D311" r:id="NativeLink207"/>
    <hyperlink ref="D312" r:id="NativeLink208"/>
    <hyperlink ref="D313" r:id="NativeLink209"/>
    <hyperlink ref="D314" r:id="NativeLink210"/>
    <hyperlink ref="D315" r:id="NativeLink211"/>
    <hyperlink ref="D317" r:id="NativeLink212"/>
    <hyperlink ref="D319" r:id="NativeLink213"/>
    <hyperlink ref="D320" r:id="NativeLink214"/>
    <hyperlink ref="D321" r:id="NativeLink215"/>
    <hyperlink ref="D326" r:id="NativeLink216"/>
    <hyperlink ref="D327" r:id="NativeLink217"/>
    <hyperlink ref="D328" r:id="NativeLink218"/>
    <hyperlink ref="D332" r:id="NativeLink219"/>
    <hyperlink ref="D333" r:id="NativeLink220"/>
    <hyperlink ref="D334" r:id="NativeLink221"/>
    <hyperlink ref="D335" r:id="NativeLink222"/>
    <hyperlink ref="D336" r:id="NativeLink223"/>
    <hyperlink ref="D337" r:id="NativeLink224"/>
    <hyperlink ref="D338" r:id="NativeLink225"/>
    <hyperlink ref="D340" r:id="NativeLink226"/>
    <hyperlink ref="D341" r:id="NativeLink227"/>
    <hyperlink ref="D342" r:id="NativeLink228"/>
    <hyperlink ref="D343" r:id="NativeLink229"/>
    <hyperlink ref="D344" r:id="NativeLink230"/>
    <hyperlink ref="D345" r:id="NativeLink231"/>
    <hyperlink ref="D346" r:id="NativeLink232"/>
    <hyperlink ref="D347" r:id="NativeLink233"/>
    <hyperlink ref="D348" r:id="NativeLink234"/>
    <hyperlink ref="D349" r:id="NativeLink235"/>
    <hyperlink ref="D350" r:id="NativeLink236"/>
    <hyperlink ref="D351" r:id="NativeLink237"/>
    <hyperlink ref="D352" r:id="NativeLink238"/>
    <hyperlink ref="D353" r:id="NativeLink239"/>
    <hyperlink ref="D354" r:id="NativeLink240"/>
    <hyperlink ref="D355" r:id="NativeLink241"/>
    <hyperlink ref="D356" r:id="NativeLink242"/>
  </hyperlinks>
  <pageMargins left="0.7" right="0.7" top="0.75" bottom="0.75" header="0.3" footer="0.3"/>
  <tableParts count="1">
    <tablePart r:id="Rc457a0efe6d44402"/>
  </tableParts>
</worksheet>
</file>

<file path=xl/worksheets/sheet7.xml><?xml version="1.0" encoding="utf-8"?>
<x:worksheet xmlns:x="http://schemas.openxmlformats.org/spreadsheetml/2006/main">
  <x:sheetPr>
    <x:tabColor rgb="FF234B65"/>
  </x:sheetPr>
  <x:sheetViews>
    <x:sheetView showGridLines="0" workbookViewId="0">
      <x:pane xSplit="2" ySplit="5" topLeftCell="C6" activePane="bottomRight" state="frozen"/>
    </x:sheetView>
  </x:sheetViews>
  <x:sheetFormatPr defaultRowHeight="15"/>
  <x:cols>
    <x:col min="1" max="1" width="10" hidden="0" customWidth="1"/>
    <x:col min="2" max="2" width="29" hidden="0" customWidth="1"/>
    <x:col min="3" max="3" width="15" hidden="0" customWidth="1"/>
    <x:col min="4" max="4" width="20" hidden="0" customWidth="1"/>
    <x:col min="5" max="5" width="20" hidden="0" customWidth="1"/>
    <x:col min="6" max="6" width="19" hidden="0" customWidth="1"/>
    <x:col min="7" max="7" width="20" hidden="0" customWidth="1"/>
    <x:col min="8" max="8" width="18" hidden="0" customWidth="1"/>
    <x:col min="9" max="9" width="19" hidden="0" customWidth="1"/>
    <x:col min="10" max="10" width="20" hidden="0" customWidth="1"/>
    <x:col min="11" max="11" width="18" hidden="0" customWidth="1"/>
  </x:cols>
  <x:sheetData>
    <x:row r="1" ht="38" customHeight="1">
      <x:c r="A1" s="5" t="str">
        <x:v>Observable execution metrics</x:v>
      </x:c>
      <x:c r="B1" s="5"/>
      <x:c r="C1" s="5"/>
      <x:c r="D1" s="5"/>
      <x:c r="E1" s="5"/>
      <x:c r="F1" s="5"/>
      <x:c r="G1" s="5"/>
      <x:c r="H1" s="5"/>
      <x:c r="I1" s="5"/>
      <x:c r="J1" s="5"/>
      <x:c r="K1" s="5"/>
    </x:row>
    <x:row r="2" ht="24" customHeight="1">
      <x:c r="A2" s="7" t="str">
        <x:v>Input tokens are cumulative conversation replay, often cached, not unique research volume. Output tokens may include billed reasoning. Model latency sums overlap other activity and are not an exclusive wall-time breakdown. Empty tool statistics were not normalized for that run; see chronology links.</x:v>
      </x:c>
      <x:c r="B2" s="7"/>
      <x:c r="C2" s="7"/>
      <x:c r="D2" s="7"/>
      <x:c r="E2" s="7"/>
      <x:c r="F2" s="7"/>
      <x:c r="G2" s="7"/>
      <x:c r="H2" s="7"/>
      <x:c r="I2" s="7"/>
      <x:c r="J2" s="7"/>
      <x:c r="K2" s="7"/>
    </x:row>
    <x:row r="3" ht="24" customHeight="1">
      <x:c r="A3" s="7"/>
      <x:c r="B3" s="7"/>
      <x:c r="C3" s="7"/>
      <x:c r="D3" s="7"/>
      <x:c r="E3" s="7"/>
      <x:c r="F3" s="7"/>
      <x:c r="G3" s="7"/>
      <x:c r="H3" s="7"/>
      <x:c r="I3" s="7"/>
      <x:c r="J3" s="7"/>
      <x:c r="K3" s="7"/>
    </x:row>
    <x:row r="4">
      <x:c r="A4" s="3"/>
      <x:c r="B4" s="3"/>
      <x:c r="C4" s="3"/>
      <x:c r="D4" s="3"/>
      <x:c r="E4" s="3"/>
      <x:c r="F4" s="3"/>
      <x:c r="G4" s="3"/>
      <x:c r="H4" s="3"/>
      <x:c r="I4" s="3"/>
      <x:c r="J4" s="3"/>
      <x:c r="K4" s="3"/>
    </x:row>
    <x:row r="5" ht="34" customHeight="1">
      <x:c r="A5" s="9" t="str">
        <x:v>Run</x:v>
      </x:c>
      <x:c r="B5" s="9" t="str">
        <x:v>Entity</x:v>
      </x:c>
      <x:c r="C5" s="9" t="str">
        <x:v>Model calls</x:v>
      </x:c>
      <x:c r="D5" s="9" t="str">
        <x:v>Input tokens</x:v>
      </x:c>
      <x:c r="E5" s="9" t="str">
        <x:v>Cache-read tokens</x:v>
      </x:c>
      <x:c r="F5" s="9" t="str">
        <x:v>Output tokens</x:v>
      </x:c>
      <x:c r="G5" s="9" t="str">
        <x:v>Model latency sum</x:v>
      </x:c>
      <x:c r="H5" s="9" t="str">
        <x:v>read_file calls</x:v>
      </x:c>
      <x:c r="I5" s="9" t="str">
        <x:v>Exact repeat reads</x:v>
      </x:c>
      <x:c r="J5" s="9" t="str">
        <x:v>Multi-tool batches</x:v>
      </x:c>
      <x:c r="K5" s="9" t="str">
        <x:v>Largest batch</x:v>
      </x:c>
    </x:row>
    <x:row r="6" ht="40" customHeight="1">
      <x:c r="A6" s="3" t="str">
        <x:v>P1</x:v>
      </x:c>
      <x:c r="B6" s="3" t="str">
        <x:v>Premier Gastroenterology</x:v>
      </x:c>
      <x:c r="C6" s="29" t="n">
        <x:v>78</x:v>
      </x:c>
      <x:c r="D6" s="29" t="n">
        <x:v>7510383</x:v>
      </x:c>
      <x:c r="E6" s="29" t="n">
        <x:v>7032448</x:v>
      </x:c>
      <x:c r="F6" s="29" t="n">
        <x:v>55061</x:v>
      </x:c>
      <x:c r="G6" s="19" t="n">
        <x:v>0.009685034880892123</x:v>
      </x:c>
      <x:c r="H6" s="3"/>
      <x:c r="I6" s="3"/>
      <x:c r="J6" s="3"/>
      <x:c r="K6" s="3"/>
    </x:row>
    <x:row r="7" ht="40" customHeight="1">
      <x:c r="A7" s="10" t="str">
        <x:v>P1</x:v>
      </x:c>
      <x:c r="B7" s="10" t="str">
        <x:v>Todd Greer</x:v>
      </x:c>
      <x:c r="C7" s="30" t="n">
        <x:v>48</x:v>
      </x:c>
      <x:c r="D7" s="30" t="n">
        <x:v>4480655</x:v>
      </x:c>
      <x:c r="E7" s="30" t="n">
        <x:v>3992448</x:v>
      </x:c>
      <x:c r="F7" s="30" t="n">
        <x:v>49977</x:v>
      </x:c>
      <x:c r="G7" s="20" t="n">
        <x:v>0.008370818903430416</x:v>
      </x:c>
      <x:c r="H7" s="10"/>
      <x:c r="I7" s="10"/>
      <x:c r="J7" s="10"/>
      <x:c r="K7" s="10"/>
    </x:row>
    <x:row r="8" ht="40" customHeight="1">
      <x:c r="A8" s="3" t="str">
        <x:v>P2</x:v>
      </x:c>
      <x:c r="B8" s="3" t="str">
        <x:v>Premier Gastroenterology</x:v>
      </x:c>
      <x:c r="C8" s="29" t="n">
        <x:v>48</x:v>
      </x:c>
      <x:c r="D8" s="29" t="n">
        <x:v>4530300</x:v>
      </x:c>
      <x:c r="E8" s="29" t="n">
        <x:v>3682736</x:v>
      </x:c>
      <x:c r="F8" s="29" t="n">
        <x:v>22772</x:v>
      </x:c>
      <x:c r="G8" s="19" t="n">
        <x:v>0.004214679073551519</x:v>
      </x:c>
      <x:c r="H8" s="3"/>
      <x:c r="I8" s="3"/>
      <x:c r="J8" s="3"/>
      <x:c r="K8" s="3"/>
    </x:row>
    <x:row r="9" ht="40" customHeight="1">
      <x:c r="A9" s="10" t="str">
        <x:v>P2</x:v>
      </x:c>
      <x:c r="B9" s="10" t="str">
        <x:v>Beth Smith</x:v>
      </x:c>
      <x:c r="C9" s="30" t="n">
        <x:v>21</x:v>
      </x:c>
      <x:c r="D9" s="30" t="n">
        <x:v>1167061</x:v>
      </x:c>
      <x:c r="E9" s="30" t="n">
        <x:v>768581</x:v>
      </x:c>
      <x:c r="F9" s="30" t="n">
        <x:v>8674</x:v>
      </x:c>
      <x:c r="G9" s="20" t="n">
        <x:v>0.0011590935344510298</x:v>
      </x:c>
      <x:c r="H9" s="10"/>
      <x:c r="I9" s="10"/>
      <x:c r="J9" s="10"/>
      <x:c r="K9" s="10"/>
    </x:row>
    <x:row r="10" ht="40" customHeight="1">
      <x:c r="A10" s="3" t="str">
        <x:v>P3</x:v>
      </x:c>
      <x:c r="B10" s="3" t="str">
        <x:v>Premier Gastroenterology</x:v>
      </x:c>
      <x:c r="C10" s="29" t="n">
        <x:v>55</x:v>
      </x:c>
      <x:c r="D10" s="29" t="n">
        <x:v>5006007</x:v>
      </x:c>
      <x:c r="E10" s="29" t="n">
        <x:v>4194375</x:v>
      </x:c>
      <x:c r="F10" s="29" t="n">
        <x:v>25581</x:v>
      </x:c>
      <x:c r="G10" s="19" t="n">
        <x:v>0.0036496065914306437</x:v>
      </x:c>
      <x:c r="H10" s="3" t="n">
        <x:v>50</x:v>
      </x:c>
      <x:c r="I10" s="3" t="n">
        <x:v>0</x:v>
      </x:c>
      <x:c r="J10" s="3" t="n">
        <x:v>20</x:v>
      </x:c>
      <x:c r="K10" s="3" t="n">
        <x:v>4</x:v>
      </x:c>
    </x:row>
    <x:row r="11" ht="40" customHeight="1">
      <x:c r="A11" s="10" t="str">
        <x:v>P3</x:v>
      </x:c>
      <x:c r="B11" s="10" t="str">
        <x:v>Beth Smith</x:v>
      </x:c>
      <x:c r="C11" s="30" t="n">
        <x:v>61</x:v>
      </x:c>
      <x:c r="D11" s="30" t="n">
        <x:v>6105419</x:v>
      </x:c>
      <x:c r="E11" s="30" t="n">
        <x:v>5127164</x:v>
      </x:c>
      <x:c r="F11" s="30" t="n">
        <x:v>37957</x:v>
      </x:c>
      <x:c r="G11" s="20" t="n">
        <x:v>0.005133670711339046</x:v>
      </x:c>
      <x:c r="H11" s="10" t="n">
        <x:v>49</x:v>
      </x:c>
      <x:c r="I11" s="10" t="n">
        <x:v>0</x:v>
      </x:c>
      <x:c r="J11" s="10" t="n">
        <x:v>20</x:v>
      </x:c>
      <x:c r="K11" s="10" t="n">
        <x:v>3</x:v>
      </x:c>
    </x:row>
    <x:row r="12" ht="40" customHeight="1">
      <x:c r="A12" s="3" t="str">
        <x:v>P4</x:v>
      </x:c>
      <x:c r="B12" s="3" t="str">
        <x:v>Premier Gastroenterology</x:v>
      </x:c>
      <x:c r="C12" s="29" t="n">
        <x:v>89</x:v>
      </x:c>
      <x:c r="D12" s="29" t="n">
        <x:v>8713627</x:v>
      </x:c>
      <x:c r="E12" s="29" t="n">
        <x:v>7550592</x:v>
      </x:c>
      <x:c r="F12" s="29" t="n">
        <x:v>109892</x:v>
      </x:c>
      <x:c r="G12" s="19" t="n">
        <x:v>0.019005992113215377</x:v>
      </x:c>
      <x:c r="H12" s="3" t="n">
        <x:v>164</x:v>
      </x:c>
      <x:c r="I12" s="3" t="n">
        <x:v>2</x:v>
      </x:c>
      <x:c r="J12" s="3" t="n">
        <x:v>61</x:v>
      </x:c>
      <x:c r="K12" s="3" t="n">
        <x:v>8</x:v>
      </x:c>
    </x:row>
    <x:row r="13" ht="40" customHeight="1">
      <x:c r="A13" s="10" t="str">
        <x:v>P4</x:v>
      </x:c>
      <x:c r="B13" s="10" t="str">
        <x:v>Todd Greer</x:v>
      </x:c>
      <x:c r="C13" s="30" t="n">
        <x:v>82</x:v>
      </x:c>
      <x:c r="D13" s="30" t="n">
        <x:v>8506031</x:v>
      </x:c>
      <x:c r="E13" s="30" t="n">
        <x:v>7564800</x:v>
      </x:c>
      <x:c r="F13" s="30" t="n">
        <x:v>92508</x:v>
      </x:c>
      <x:c r="G13" s="20" t="n">
        <x:v>0.015454453211291198</x:v>
      </x:c>
      <x:c r="H13" s="10" t="n">
        <x:v>128</x:v>
      </x:c>
      <x:c r="I13" s="10" t="n">
        <x:v>1</x:v>
      </x:c>
      <x:c r="J13" s="10" t="n">
        <x:v>44</x:v>
      </x:c>
      <x:c r="K13" s="10" t="n">
        <x:v>9</x:v>
      </x:c>
    </x:row>
    <x:row r="14" ht="40" customHeight="1">
      <x:c r="A14" s="3" t="str">
        <x:v>P5</x:v>
      </x:c>
      <x:c r="B14" s="3" t="str">
        <x:v>Premier Gastroenterology</x:v>
      </x:c>
      <x:c r="C14" s="29" t="n">
        <x:v>66</x:v>
      </x:c>
      <x:c r="D14" s="29" t="n">
        <x:v>6774676</x:v>
      </x:c>
      <x:c r="E14" s="29" t="n">
        <x:v>6408994</x:v>
      </x:c>
      <x:c r="F14" s="29" t="n">
        <x:v>29724</x:v>
      </x:c>
      <x:c r="G14" s="19" t="n">
        <x:v>0.003882188445156013</x:v>
      </x:c>
      <x:c r="H14" s="3" t="n">
        <x:v>65</x:v>
      </x:c>
      <x:c r="I14" s="3" t="n">
        <x:v>2</x:v>
      </x:c>
      <x:c r="J14" s="3" t="n">
        <x:v>16</x:v>
      </x:c>
      <x:c r="K14" s="3" t="n">
        <x:v>5</x:v>
      </x:c>
    </x:row>
    <x:row r="15" ht="40" customHeight="1">
      <x:c r="A15" s="10" t="str">
        <x:v>P5</x:v>
      </x:c>
      <x:c r="B15" s="10" t="str">
        <x:v>Todd Greer</x:v>
      </x:c>
      <x:c r="C15" s="30" t="n">
        <x:v>42</x:v>
      </x:c>
      <x:c r="D15" s="30" t="n">
        <x:v>3282972</x:v>
      </x:c>
      <x:c r="E15" s="30" t="n">
        <x:v>2923560</x:v>
      </x:c>
      <x:c r="F15" s="30" t="n">
        <x:v>12707</x:v>
      </x:c>
      <x:c r="G15" s="20" t="n">
        <x:v>0.001884106977765138</x:v>
      </x:c>
      <x:c r="H15" s="10" t="n">
        <x:v>51</x:v>
      </x:c>
      <x:c r="I15" s="10" t="n">
        <x:v>0</x:v>
      </x:c>
      <x:c r="J15" s="10" t="n">
        <x:v>13</x:v>
      </x:c>
      <x:c r="K15" s="10" t="n">
        <x:v>5</x:v>
      </x:c>
    </x:row>
    <x:row r="16" ht="40" customHeight="1">
      <x:c r="A16" s="3" t="str">
        <x:v>Z1</x:v>
      </x:c>
      <x:c r="B16" s="3" t="str">
        <x:v>Zafran Security</x:v>
      </x:c>
      <x:c r="C16" s="29" t="n">
        <x:v>61</x:v>
      </x:c>
      <x:c r="D16" s="29" t="n">
        <x:v>6346215</x:v>
      </x:c>
      <x:c r="E16" s="29" t="n">
        <x:v>5812736</x:v>
      </x:c>
      <x:c r="F16" s="29" t="n">
        <x:v>51179</x:v>
      </x:c>
      <x:c r="G16" s="19" t="n">
        <x:v>0.009441726154567462</x:v>
      </x:c>
      <x:c r="H16" s="3"/>
      <x:c r="I16" s="3"/>
      <x:c r="J16" s="3"/>
      <x:c r="K16" s="3"/>
    </x:row>
    <x:row r="17" ht="40" customHeight="1">
      <x:c r="A17" s="10" t="str">
        <x:v>Z1</x:v>
      </x:c>
      <x:c r="B17" s="10" t="str">
        <x:v>Vari Kaur</x:v>
      </x:c>
      <x:c r="C17" s="30" t="n">
        <x:v>44</x:v>
      </x:c>
      <x:c r="D17" s="30" t="n">
        <x:v>4402831</x:v>
      </x:c>
      <x:c r="E17" s="30" t="n">
        <x:v>3946112</x:v>
      </x:c>
      <x:c r="F17" s="30" t="n">
        <x:v>41241</x:v>
      </x:c>
      <x:c r="G17" s="20" t="n">
        <x:v>0.007511529303608566</x:v>
      </x:c>
      <x:c r="H17" s="10"/>
      <x:c r="I17" s="10"/>
      <x:c r="J17" s="10"/>
      <x:c r="K17" s="10"/>
    </x:row>
    <x:row r="18" ht="40" customHeight="1">
      <x:c r="A18" s="3" t="str">
        <x:v>Z1</x:v>
      </x:c>
      <x:c r="B18" s="3" t="str">
        <x:v>Nick Fisher</x:v>
      </x:c>
      <x:c r="C18" s="29" t="n">
        <x:v>80</x:v>
      </x:c>
      <x:c r="D18" s="29" t="n">
        <x:v>6897840</x:v>
      </x:c>
      <x:c r="E18" s="29" t="n">
        <x:v>6265344</x:v>
      </x:c>
      <x:c r="F18" s="29" t="n">
        <x:v>48405</x:v>
      </x:c>
      <x:c r="G18" s="19" t="n">
        <x:v>0.01044284500718479</x:v>
      </x:c>
      <x:c r="H18" s="3"/>
      <x:c r="I18" s="3"/>
      <x:c r="J18" s="3"/>
      <x:c r="K18" s="3"/>
    </x:row>
    <x:row r="19" ht="32" customHeight="1">
      <x:c r="A19" s="10" t="str">
        <x:v>Z2</x:v>
      </x:c>
      <x:c r="B19" s="10" t="str">
        <x:v>Vari Kaur</x:v>
      </x:c>
      <x:c r="C19" s="30" t="n">
        <x:v>0</x:v>
      </x:c>
      <x:c r="D19" s="30" t="n">
        <x:v>0</x:v>
      </x:c>
      <x:c r="E19" s="30" t="n">
        <x:v>0</x:v>
      </x:c>
      <x:c r="F19" s="30" t="n">
        <x:v>0</x:v>
      </x:c>
      <x:c r="G19" s="20" t="n">
        <x:v>0</x:v>
      </x:c>
      <x:c r="H19" s="10"/>
      <x:c r="I19" s="10"/>
      <x:c r="J19" s="10"/>
      <x:c r="K19" s="10"/>
    </x:row>
    <x:row r="20" ht="32" customHeight="1">
      <x:c r="A20" s="3" t="str">
        <x:v>Z2</x:v>
      </x:c>
      <x:c r="B20" s="3" t="str">
        <x:v>Nick Fisher</x:v>
      </x:c>
      <x:c r="C20" s="29" t="n">
        <x:v>0</x:v>
      </x:c>
      <x:c r="D20" s="29" t="n">
        <x:v>0</x:v>
      </x:c>
      <x:c r="E20" s="29" t="n">
        <x:v>0</x:v>
      </x:c>
      <x:c r="F20" s="29" t="n">
        <x:v>0</x:v>
      </x:c>
      <x:c r="G20" s="19" t="n">
        <x:v>0</x:v>
      </x:c>
      <x:c r="H20" s="3"/>
      <x:c r="I20" s="3"/>
      <x:c r="J20" s="3"/>
      <x:c r="K20" s="3"/>
    </x:row>
    <x:row r="21" ht="40" customHeight="1">
      <x:c r="A21" s="10" t="str">
        <x:v>Z2</x:v>
      </x:c>
      <x:c r="B21" s="10" t="str">
        <x:v>Zafran Security</x:v>
      </x:c>
      <x:c r="C21" s="30" t="n">
        <x:v>68</x:v>
      </x:c>
      <x:c r="D21" s="30" t="n">
        <x:v>7125036</x:v>
      </x:c>
      <x:c r="E21" s="30" t="n">
        <x:v>6447488</x:v>
      </x:c>
      <x:c r="F21" s="30" t="n">
        <x:v>54779</x:v>
      </x:c>
      <x:c r="G21" s="20" t="n">
        <x:v>0.016823730784125034</x:v>
      </x:c>
      <x:c r="H21" s="10"/>
      <x:c r="I21" s="10"/>
      <x:c r="J21" s="10"/>
      <x:c r="K21" s="10"/>
    </x:row>
    <x:row r="22" ht="32" customHeight="1">
      <x:c r="A22" s="3" t="str">
        <x:v>Z3</x:v>
      </x:c>
      <x:c r="B22" s="3" t="str">
        <x:v>Tom Anthony</x:v>
      </x:c>
      <x:c r="C22" s="29" t="n">
        <x:v>0</x:v>
      </x:c>
      <x:c r="D22" s="29" t="n">
        <x:v>0</x:v>
      </x:c>
      <x:c r="E22" s="29" t="n">
        <x:v>0</x:v>
      </x:c>
      <x:c r="F22" s="29" t="n">
        <x:v>0</x:v>
      </x:c>
      <x:c r="G22" s="19" t="n">
        <x:v>0</x:v>
      </x:c>
      <x:c r="H22" s="3"/>
      <x:c r="I22" s="3"/>
      <x:c r="J22" s="3"/>
      <x:c r="K22" s="3"/>
    </x:row>
    <x:row r="23" ht="32" customHeight="1">
      <x:c r="A23" s="10" t="str">
        <x:v>Z3</x:v>
      </x:c>
      <x:c r="B23" s="10" t="str">
        <x:v>Kelly W.</x:v>
      </x:c>
      <x:c r="C23" s="30" t="n">
        <x:v>0</x:v>
      </x:c>
      <x:c r="D23" s="30" t="n">
        <x:v>0</x:v>
      </x:c>
      <x:c r="E23" s="30" t="n">
        <x:v>0</x:v>
      </x:c>
      <x:c r="F23" s="30" t="n">
        <x:v>0</x:v>
      </x:c>
      <x:c r="G23" s="20" t="n">
        <x:v>0</x:v>
      </x:c>
      <x:c r="H23" s="10"/>
      <x:c r="I23" s="10"/>
      <x:c r="J23" s="10"/>
      <x:c r="K23" s="10"/>
    </x:row>
    <x:row r="24" ht="40" customHeight="1">
      <x:c r="A24" s="3" t="str">
        <x:v>Z3</x:v>
      </x:c>
      <x:c r="B24" s="3" t="str">
        <x:v>Zafran Security</x:v>
      </x:c>
      <x:c r="C24" s="29" t="n">
        <x:v>50</x:v>
      </x:c>
      <x:c r="D24" s="29" t="n">
        <x:v>3276036</x:v>
      </x:c>
      <x:c r="E24" s="29" t="n">
        <x:v>3098752</x:v>
      </x:c>
      <x:c r="F24" s="29" t="n">
        <x:v>15038</x:v>
      </x:c>
      <x:c r="G24" s="19" t="n">
        <x:v>0.0011104480453839104</x:v>
      </x:c>
      <x:c r="H24" s="3"/>
      <x:c r="I24" s="3"/>
      <x:c r="J24" s="3"/>
      <x:c r="K24" s="3"/>
    </x:row>
    <x:row r="25" ht="40" customHeight="1">
      <x:c r="A25" s="10" t="str">
        <x:v>Z4</x:v>
      </x:c>
      <x:c r="B25" s="10" t="str">
        <x:v>Zafran Security</x:v>
      </x:c>
      <x:c r="C25" s="30" t="n">
        <x:v>26</x:v>
      </x:c>
      <x:c r="D25" s="30" t="n">
        <x:v>1456640</x:v>
      </x:c>
      <x:c r="E25" s="30" t="n">
        <x:v>1249728</x:v>
      </x:c>
      <x:c r="F25" s="30" t="n">
        <x:v>20459</x:v>
      </x:c>
      <x:c r="G25" s="20" t="n">
        <x:v>0.0008444537712192094</x:v>
      </x:c>
      <x:c r="H25" s="10"/>
      <x:c r="I25" s="10"/>
      <x:c r="J25" s="10"/>
      <x:c r="K25" s="10"/>
    </x:row>
    <x:row r="26" ht="40" customHeight="1">
      <x:c r="A26" s="3" t="str">
        <x:v>Z5</x:v>
      </x:c>
      <x:c r="B26" s="3" t="str">
        <x:v>Vari Kaur</x:v>
      </x:c>
      <x:c r="C26" s="29" t="n">
        <x:v>22</x:v>
      </x:c>
      <x:c r="D26" s="29" t="n">
        <x:v>1686303</x:v>
      </x:c>
      <x:c r="E26" s="29" t="n">
        <x:v>1583872</x:v>
      </x:c>
      <x:c r="F26" s="29" t="n">
        <x:v>15198</x:v>
      </x:c>
      <x:c r="G26" s="19" t="n">
        <x:v>0.0014831790918860524</x:v>
      </x:c>
      <x:c r="H26" s="3"/>
      <x:c r="I26" s="3"/>
      <x:c r="J26" s="3"/>
      <x:c r="K26" s="3"/>
    </x:row>
    <x:row r="27" ht="40" customHeight="1">
      <x:c r="A27" s="10" t="str">
        <x:v>Z5</x:v>
      </x:c>
      <x:c r="B27" s="10" t="str">
        <x:v>Nick Fisher</x:v>
      </x:c>
      <x:c r="C27" s="30" t="n">
        <x:v>89</x:v>
      </x:c>
      <x:c r="D27" s="30" t="n">
        <x:v>9294601</x:v>
      </x:c>
      <x:c r="E27" s="30" t="n">
        <x:v>8012800</x:v>
      </x:c>
      <x:c r="F27" s="30" t="n">
        <x:v>70776</x:v>
      </x:c>
      <x:c r="G27" s="20" t="n">
        <x:v>0.023875946789703447</x:v>
      </x:c>
      <x:c r="H27" s="10"/>
      <x:c r="I27" s="10"/>
      <x:c r="J27" s="10"/>
      <x:c r="K27" s="10"/>
    </x:row>
    <x:row r="28" ht="40" customHeight="1">
      <x:c r="A28" s="3" t="str">
        <x:v>Z5</x:v>
      </x:c>
      <x:c r="B28" s="3" t="str">
        <x:v>Zafran Security</x:v>
      </x:c>
      <x:c r="C28" s="29" t="n">
        <x:v>124</x:v>
      </x:c>
      <x:c r="D28" s="29" t="n">
        <x:v>11427762</x:v>
      </x:c>
      <x:c r="E28" s="29" t="n">
        <x:v>10770176</x:v>
      </x:c>
      <x:c r="F28" s="29" t="n">
        <x:v>118748</x:v>
      </x:c>
      <x:c r="G28" s="19" t="n">
        <x:v>0.013295368958327648</x:v>
      </x:c>
      <x:c r="H28" s="3"/>
      <x:c r="I28" s="3"/>
      <x:c r="J28" s="3"/>
      <x:c r="K28" s="3"/>
    </x:row>
    <x:row r="29" ht="40" customHeight="1">
      <x:c r="A29" s="10" t="str">
        <x:v>Z6</x:v>
      </x:c>
      <x:c r="B29" s="10" t="str">
        <x:v>Zafran Security</x:v>
      </x:c>
      <x:c r="C29" s="30" t="n">
        <x:v>79</x:v>
      </x:c>
      <x:c r="D29" s="30" t="n">
        <x:v>7091181</x:v>
      </x:c>
      <x:c r="E29" s="30" t="n">
        <x:v>5410956</x:v>
      </x:c>
      <x:c r="F29" s="30" t="n">
        <x:v>84270</x:v>
      </x:c>
      <x:c r="G29" s="20" t="n">
        <x:v>0.009057984897781689</x:v>
      </x:c>
      <x:c r="H29" s="10"/>
      <x:c r="I29" s="10"/>
      <x:c r="J29" s="10"/>
      <x:c r="K29" s="10"/>
    </x:row>
    <x:row r="30" ht="40" customHeight="1">
      <x:c r="A30" s="3" t="str">
        <x:v>Z6</x:v>
      </x:c>
      <x:c r="B30" s="3" t="str">
        <x:v>Nick Fisher</x:v>
      </x:c>
      <x:c r="C30" s="29" t="n">
        <x:v>92</x:v>
      </x:c>
      <x:c r="D30" s="29" t="n">
        <x:v>9506277</x:v>
      </x:c>
      <x:c r="E30" s="29" t="n">
        <x:v>7285675</x:v>
      </x:c>
      <x:c r="F30" s="29" t="n">
        <x:v>70199</x:v>
      </x:c>
      <x:c r="G30" s="19" t="n">
        <x:v>0.00889480455486962</x:v>
      </x:c>
      <x:c r="H30" s="3"/>
      <x:c r="I30" s="3"/>
      <x:c r="J30" s="3"/>
      <x:c r="K30" s="3"/>
    </x:row>
    <x:row r="31" ht="40" customHeight="1">
      <x:c r="A31" s="10" t="str">
        <x:v>Z6</x:v>
      </x:c>
      <x:c r="B31" s="10" t="str">
        <x:v>Vari Kaur</x:v>
      </x:c>
      <x:c r="C31" s="30" t="n">
        <x:v>120</x:v>
      </x:c>
      <x:c r="D31" s="30" t="n">
        <x:v>10973017</x:v>
      </x:c>
      <x:c r="E31" s="30" t="n">
        <x:v>8361253</x:v>
      </x:c>
      <x:c r="F31" s="30" t="n">
        <x:v>104293</x:v>
      </x:c>
      <x:c r="G31" s="20" t="n">
        <x:v>0.01355818440767406</x:v>
      </x:c>
      <x:c r="H31" s="10"/>
      <x:c r="I31" s="10"/>
      <x:c r="J31" s="10"/>
      <x:c r="K31" s="10"/>
    </x:row>
  </x:sheetData>
  <x:mergeCells>
    <x:mergeCell ref="A1:K1"/>
    <x:mergeCell ref="A2:K3"/>
  </x:mergeCells>
  <x:pageMargins left="0.7" right="0.7" top="0.75" bottom="0.75" header="0.3" footer="0.3"/>
  <x:tableParts count="1">
    <x:tablePart xmlns:r="http://schemas.openxmlformats.org/officeDocument/2006/relationships" r:id="Rc48b787638c345f7"/>
  </x:tableParts>
</x:worksheet>
</file>

<file path=xl/worksheets/sheet8.xml><?xml version="1.0" encoding="utf-8"?>
<x:worksheet xmlns:x="http://schemas.openxmlformats.org/spreadsheetml/2006/main">
  <x:sheetPr>
    <x:tabColor rgb="FF234B65"/>
  </x:sheetPr>
  <x:sheetViews>
    <x:sheetView showGridLines="0" workbookViewId="0">
      <x:pane xSplit="2" ySplit="5" topLeftCell="C6" activePane="bottomRight" state="frozen"/>
    </x:sheetView>
  </x:sheetViews>
  <x:sheetFormatPr defaultRowHeight="15"/>
  <x:cols>
    <x:col min="1" max="1" width="28" hidden="0" customWidth="1"/>
    <x:col min="2" max="2" width="135" hidden="0" customWidth="1"/>
  </x:cols>
  <x:sheetData>
    <x:row r="1" ht="38" customHeight="1">
      <x:c r="A1" s="5" t="str">
        <x:v>How to read the comparison</x:v>
      </x:c>
      <x:c r="B1" s="5"/>
    </x:row>
    <x:row r="2" ht="24" customHeight="1">
      <x:c r="A2" s="7" t="str">
        <x:v>Current snapshot: 28 September 2026. All amounts in USD unless labelled AI Ark credits. This workbook is a decision aid grounded in retained run artifacts; it does not assign unsupported quality scores.</x:v>
      </x:c>
      <x:c r="B2" s="7"/>
    </x:row>
    <x:row r="3" ht="24" customHeight="1">
      <x:c r="A3" s="7"/>
      <x:c r="B3" s="7"/>
    </x:row>
    <x:row r="4">
      <x:c r="A4" s="3"/>
      <x:c r="B4" s="3"/>
    </x:row>
    <x:row r="5" ht="34" customHeight="1">
      <x:c r="A5" s="9" t="str">
        <x:v>Topic</x:v>
      </x:c>
      <x:c r="B5" s="9" t="str">
        <x:v>Definition / interpretation</x:v>
      </x:c>
    </x:row>
    <x:row r="6" ht="40" customHeight="1">
      <x:c r="A6" s="3" t="str">
        <x:v>Scope</x:v>
      </x:c>
      <x:c r="B6" s="3" t="str">
        <x:v>11 substantive research attempts (5 Premier, 6 Zafran), plus three Muse setup failures. Premier baseline began September 27 UTC but September 28 in Asia/Kolkata. No new paid calls made for this report.</x:v>
      </x:c>
    </x:row>
    <x:row r="7" ht="54" customHeight="1">
      <x:c r="A7" s="10" t="str">
        <x:v>Recommendation</x:v>
      </x:c>
      <x:c r="B7" s="10" t="str">
        <x:v>Use Grok 4.6 medium as current research-quality baseline; Muse xhigh remains a promising lower-cost account candidate, and Muse max has unique person-depth strengths. No model completed every formal lifecycle stage without issues.</x:v>
      </x:c>
    </x:row>
    <x:row r="8" ht="40" customHeight="1">
      <x:c r="A8" s="3" t="str">
        <x:v>Two workloads</x:v>
      </x:c>
      <x:c r="B8" s="3" t="str">
        <x:v>Premier: Insight Health seller, one account plus one selected person (Todd or Beth). Zafran: Clue seller, account plus fixed Nick and Vari. Raw total costs across these workloads are not like-for-like.</x:v>
      </x:c>
    </x:row>
    <x:row r="9" ht="40" customHeight="1">
      <x:c r="A9" s="10" t="str">
        <x:v>Effort</x:v>
      </x:c>
      <x:c r="B9" s="10" t="str">
        <x:v>medium/high/xhigh/max are the actual requested settings where checked. They are provider-specific controls, not equal hidden compute budgets. No private reasoning content is reconstructed.</x:v>
      </x:c>
    </x:row>
    <x:row r="10" ht="54" customHeight="1">
      <x:c r="A10" s="3" t="str">
        <x:v>Resources versus runtime</x:v>
      </x:c>
      <x:c r="B10" s="3" t="str">
        <x:v>Revision-24 resources and common retained context within each comparison; side-chat runtime fixes changed code between some launches. Muse also uses provider-specific tool/schema adaptations. Not a randomized model-only experiment.</x:v>
      </x:c>
    </x:row>
    <x:row r="11" ht="54" customHeight="1">
      <x:c r="A11" s="10" t="str">
        <x:v>Wall time</x:v>
      </x:c>
      <x:c r="B11" s="10" t="str">
        <x:v>Runs shows earliest research start to final research completion/failure/cancellation. Jobs overlap. Costs includes reconciliation and other listed paid work even if after research. Extra settlement time is in the report/run sources.</x:v>
      </x:c>
    </x:row>
    <x:row r="12" ht="54" customHeight="1">
      <x:c r="A12" s="3" t="str">
        <x:v>Settlement boundaries</x:v>
      </x:c>
      <x:c r="B12" s="3" t="str">
        <x:v>P1 worker stop about31m22s including old continuation (approximate); P4 final no-op about51m46s; Z1 30m15.5s; Z5 57m55.2s; Z6 36m03.5s including failed reconciliation. These should not be confused with successful end-to-end duration.</x:v>
      </x:c>
    </x:row>
    <x:row r="13" ht="54" customHeight="1">
      <x:c r="A13" s="10" t="str">
        <x:v>Cost</x:v>
      </x:c>
      <x:c r="B13" s="10" t="str">
        <x:v>Sum recorded researcher/provider result rows once; exclude estimate duplication. USD and AI Ark credits remain separate. P2 pending Exa, P1 possible in-flight continuation, Z2 failed call/probe leave unpriced uncertainty. No invoice reconciliation.</x:v>
      </x:c>
    </x:row>
    <x:row r="14" ht="40" customHeight="1">
      <x:c r="A14" s="3" t="str">
        <x:v>Setup cost</x:v>
      </x:c>
      <x:c r="B14" s="3" t="str">
        <x:v>S1 paid Head brief $0.118116; reused by later Premier runs and counted once. S2 tool-choice and S3 schema setup failures have no recorded priced research usage.</x:v>
      </x:c>
    </x:row>
    <x:row r="15" ht="40" customHeight="1">
      <x:c r="A15" s="10" t="str">
        <x:v>Findings</x:v>
      </x:c>
      <x:c r="B15" s="10" t="str">
        <x:v>Authored dossier records are not all account claims. Typed AI Ark enrichment excluded from authored counts. Z2 has30 drafts but0 imported. P1 initial52 findings became60 through old continuations.</x:v>
      </x:c>
    </x:row>
    <x:row r="16" ht="54" customHeight="1">
      <x:c r="A16" s="3" t="str">
        <x:v>Quality method</x:v>
      </x:c>
      <x:c r="B16" s="3" t="str">
        <x:v>Read initial and latest dossiers, source payloads, narratives and tool traces. Classify acquired-but-omitted, not-acquired-in-targeted-scan, unsupported inference, wrong ownership, bad conflict or incomplete output separately. No blanket loss percentage.</x:v>
      </x:c>
    </x:row>
    <x:row r="17" ht="40" customHeight="1">
      <x:c r="A17" s="10" t="str">
        <x:v>Narrative attribution</x:v>
      </x:c>
      <x:c r="B17" s="10" t="str">
        <x:v>Researchers write initial account/contact narratives. Later focused reconciliation uses common Muse; its text is not proof of another researcher model’s writing quality. Draft failed writes are not published narratives.</x:v>
      </x:c>
    </x:row>
    <x:row r="18" ht="54" customHeight="1">
      <x:c r="A18" s="3" t="str">
        <x:v>Trace boundary</x:v>
      </x:c>
      <x:c r="B18" s="3" t="str">
        <x:v>Model-call CSVs, public assignments, tool chronology and Langfuse links expose observable activity. Reasoning effort and billable output tokens do not reveal internal reasoning quality. ID-match checks do not prove every callback exported.</x:v>
      </x:c>
    </x:row>
    <x:row r="19" ht="40" customHeight="1">
      <x:c r="A19" s="10" t="str">
        <x:v>Source reliability</x:v>
      </x:c>
      <x:c r="B19" s="10" t="str">
        <x:v>This assesses fidelity to retrieved sources, not independent proof that every public source is true. Dates and unknown affiliation are retained qualifications.</x:v>
      </x:c>
    </x:row>
    <x:row r="20" ht="40" customHeight="1">
      <x:c r="A20" s="3" t="str">
        <x:v>Missing data</x:v>
      </x:c>
      <x:c r="B20" s="3" t="str">
        <x:v>Blank numeric milestone means unavailable or never reached, not zero time. Not produced / unavailable in Outputs is deliberate. Failed jobs may still have durable dossiers and narratives.</x:v>
      </x:c>
    </x:row>
    <x:row r="21" ht="40" customHeight="1">
      <x:c r="A21" s="10" t="str">
        <x:v>Next evaluation</x:v>
      </x:c>
      <x:c r="B21" s="10" t="str">
        <x:v>Fix/replay deterministic completion, parent-reference and narrative/reconciliation contract failures against saved artifacts, then compare fixed-evidence authoring for fidelity before buying fresh discovery runs.</x:v>
      </x:c>
    </x:row>
  </x:sheetData>
  <x:mergeCells>
    <x:mergeCell ref="A1:B1"/>
    <x:mergeCell ref="A2:B3"/>
  </x:mergeCells>
  <x:pageMargins left="0.7" right="0.7" top="0.75" bottom="0.75" header="0.3" footer="0.3"/>
  <x:tableParts count="1">
    <x:tablePart xmlns:r="http://schemas.openxmlformats.org/officeDocument/2006/relationships" r:id="R0099d23a28014fec"/>
  </x:tableParts>
</x:worksheet>
</file>